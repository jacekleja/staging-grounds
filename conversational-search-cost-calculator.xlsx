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0000"/>
    <numFmt numFmtId="166" formatCode="&quot;$&quot;#,##0.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i val="1"/>
      <color rgb="00555555"/>
      <sz val="9"/>
    </font>
    <font>
      <b val="1"/>
      <sz val="10"/>
    </font>
    <font>
      <b val="1"/>
      <sz val="12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99"/>
      </patternFill>
    </fill>
    <fill>
      <patternFill patternType="solid">
        <fgColor rgb="00D9D9D9"/>
      </patternFill>
    </fill>
    <fill>
      <patternFill patternType="solid">
        <fgColor rgb="00FFE0B2"/>
      </patternFill>
    </fill>
    <fill>
      <patternFill patternType="solid">
        <fgColor rgb="00FFFFFF"/>
      </patternFill>
    </fill>
    <fill>
      <patternFill patternType="solid">
        <fgColor rgb="00E8DCFF"/>
      </patternFill>
    </fill>
    <fill>
      <patternFill patternType="solid">
        <fgColor rgb="00C6EFCE"/>
      </patternFill>
    </fill>
    <fill>
      <patternFill patternType="solid">
        <fgColor rgb="00FF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4" borderId="0" applyAlignment="1" pivotButton="0" quotePrefix="0" xfId="0">
      <alignment horizontal="left" vertical="center"/>
    </xf>
    <xf numFmtId="0" fontId="3" fillId="4" borderId="0" pivotButton="0" quotePrefix="0" xfId="0"/>
    <xf numFmtId="0" fontId="2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/>
    </xf>
    <xf numFmtId="164" fontId="3" fillId="6" borderId="0" pivotButton="0" quotePrefix="0" xfId="0"/>
    <xf numFmtId="3" fontId="3" fillId="6" borderId="0" pivotButton="0" quotePrefix="0" xfId="0"/>
    <xf numFmtId="0" fontId="3" fillId="6" borderId="0" pivotButton="0" quotePrefix="0" xfId="0"/>
    <xf numFmtId="0" fontId="2" fillId="7" borderId="0" applyAlignment="1" pivotButton="0" quotePrefix="0" xfId="0">
      <alignment horizontal="left" vertical="center"/>
    </xf>
    <xf numFmtId="165" fontId="3" fillId="6" borderId="0" pivotButton="0" quotePrefix="0" xfId="0"/>
    <xf numFmtId="164" fontId="3" fillId="0" borderId="0" applyAlignment="1" pivotButton="0" quotePrefix="0" xfId="0">
      <alignment horizontal="right"/>
    </xf>
    <xf numFmtId="0" fontId="5" fillId="0" borderId="0" pivotButton="0" quotePrefix="0" xfId="0"/>
    <xf numFmtId="165" fontId="5" fillId="8" borderId="0" pivotButton="0" quotePrefix="0" xfId="0"/>
    <xf numFmtId="0" fontId="2" fillId="9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66" fontId="3" fillId="6" borderId="0" pivotButton="0" quotePrefix="0" xfId="0"/>
    <xf numFmtId="0" fontId="2" fillId="0" borderId="0" pivotButton="0" quotePrefix="0" xfId="0"/>
    <xf numFmtId="166" fontId="6" fillId="8" borderId="0" pivotButton="0" quotePrefix="0" xfId="0"/>
    <xf numFmtId="164" fontId="5" fillId="8" borderId="0" applyAlignment="1" pivotButton="0" quotePrefix="0" xfId="0">
      <alignment horizontal="right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3" fontId="5" fillId="4" borderId="0" pivotButton="0" quotePrefix="0" xfId="0"/>
    <xf numFmtId="166" fontId="0" fillId="0" borderId="0" applyAlignment="1" pivotButton="0" quotePrefix="0" xfId="0">
      <alignment horizontal="right"/>
    </xf>
    <xf numFmtId="0" fontId="7" fillId="2" borderId="0" pivotButton="0" quotePrefix="0" xfId="0"/>
    <xf numFmtId="0" fontId="2" fillId="4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4" customHeight="1">
      <c r="A1" s="1" t="inlineStr">
        <is>
          <t>Conversational Search — Monthly Cost Calculator</t>
        </is>
      </c>
    </row>
    <row r="3" ht="20" customHeight="1">
      <c r="A3" s="2" t="inlineStr">
        <is>
          <t>INPUTS  (change the yellow cells)</t>
        </is>
      </c>
    </row>
    <row r="4" ht="18" customHeight="1">
      <c r="A4" s="3" t="inlineStr">
        <is>
          <t>Monthly searches</t>
        </is>
      </c>
      <c r="B4" s="4" t="n">
        <v>100000</v>
      </c>
      <c r="C4" s="5" t="inlineStr">
        <is>
          <t>every search auto-engages Turn 1 (100%)</t>
        </is>
      </c>
    </row>
    <row r="5" ht="18" customHeight="1">
      <c r="A5" s="3" t="inlineStr">
        <is>
          <t>Turn 2+3 engagement rate (%)</t>
        </is>
      </c>
      <c r="B5" s="4" t="n">
        <v>5</v>
      </c>
      <c r="C5" s="5" t="inlineStr">
        <is>
          <t>% of searches where the user continues past Turn 1</t>
        </is>
      </c>
    </row>
    <row r="6" ht="18" customHeight="1">
      <c r="A6" s="3" t="inlineStr">
        <is>
          <t>Avg input tokens / LLM call — Turn 1</t>
        </is>
      </c>
      <c r="B6" s="4" t="n">
        <v>4251</v>
      </c>
      <c r="C6" s="5" t="inlineStr">
        <is>
          <t>T1 cascade avg: 90% × 1-call(4,060) + 10% × 2-call-avg(5,110)</t>
        </is>
      </c>
    </row>
    <row r="7" ht="18" customHeight="1">
      <c r="A7" s="3" t="inlineStr">
        <is>
          <t>Avg input tokens / LLM call — Turn 2+3</t>
        </is>
      </c>
      <c r="B7" s="4" t="n">
        <v>8544</v>
      </c>
      <c r="C7" s="5" t="inlineStr">
        <is>
          <t>T2+T3 cascade avg across 4 calls (T2a=6,295 / T2b=8,425 / T3a=8,982 / T3b=11,082)</t>
        </is>
      </c>
    </row>
    <row r="8" ht="18" customHeight="1">
      <c r="A8" s="3" t="inlineStr">
        <is>
          <t>T1 output tokens (always)</t>
        </is>
      </c>
      <c r="B8" s="4" t="n">
        <v>205</v>
      </c>
      <c r="C8" s="5" t="inlineStr">
        <is>
          <t>tool-call output (~100) + brief response (~105) per benchmark</t>
        </is>
      </c>
    </row>
    <row r="9" ht="18" customHeight="1">
      <c r="A9" s="3" t="inlineStr">
        <is>
          <t>T2+T3 output tokens (additional, when engaged)</t>
        </is>
      </c>
      <c r="B9" s="4" t="n">
        <v>1254</v>
      </c>
      <c r="C9" s="5" t="inlineStr">
        <is>
          <t>T2 (627) + T3 (627) — each turn: tool-call (~100) + response (~527)</t>
        </is>
      </c>
    </row>
    <row r="10" ht="18" customHeight="1">
      <c r="A10" s="3" t="inlineStr">
        <is>
          <t>LLM calls — T1 (avg)</t>
        </is>
      </c>
      <c r="B10" s="4" t="n">
        <v>1.1</v>
      </c>
      <c r="C10" s="5" t="inlineStr">
        <is>
          <t>most T1 = 1 call; ~10% take 2 (retries / long-form)</t>
        </is>
      </c>
    </row>
    <row r="11" ht="18" customHeight="1">
      <c r="A11" s="3" t="inlineStr">
        <is>
          <t>LLM calls — T2+T3 combined (when engaged)</t>
        </is>
      </c>
      <c r="B11" s="4" t="n">
        <v>4</v>
      </c>
      <c r="C11" s="5" t="inlineStr">
        <is>
          <t>T2: 2 calls (tool-decision + response) + T3: 2 calls</t>
        </is>
      </c>
    </row>
    <row r="12" ht="18" customHeight="1">
      <c r="A12" s="3" t="inlineStr">
        <is>
          <t>Guardrails enabled</t>
        </is>
      </c>
      <c r="B12" s="4" t="inlineStr">
        <is>
          <t>Yes</t>
        </is>
      </c>
      <c r="C12" s="5" t="inlineStr">
        <is>
          <t>Yes / No</t>
        </is>
      </c>
    </row>
    <row r="13" ht="18" customHeight="1">
      <c r="A13" s="3" t="inlineStr">
        <is>
          <t>Guardrail policy mix</t>
        </is>
      </c>
      <c r="B13" s="4" t="inlineStr">
        <is>
          <t>Content only</t>
        </is>
      </c>
      <c r="C13" s="5" t="inlineStr">
        <is>
          <t>"Content only" | "Content + PII" | "Content + PII + Grounding"</t>
        </is>
      </c>
    </row>
    <row r="15" ht="20" customHeight="1">
      <c r="A15" s="6" t="inlineStr">
        <is>
          <t>LOCKED CONSTANTS  (do not change)</t>
        </is>
      </c>
    </row>
    <row r="16" ht="18" customHeight="1">
      <c r="A16" s="3" t="inlineStr">
        <is>
          <t>Sonnet 4.6 input price ($/M tokens)</t>
        </is>
      </c>
      <c r="B16" s="7" t="n">
        <v>3</v>
      </c>
      <c r="C16" s="5" t="inlineStr">
        <is>
          <t>standard input, AWS Bedrock 2026-05-14</t>
        </is>
      </c>
    </row>
    <row r="17" ht="18" customHeight="1">
      <c r="A17" s="3" t="inlineStr">
        <is>
          <t>Sonnet 4.6 output price ($/M tokens)</t>
        </is>
      </c>
      <c r="B17" s="7" t="n">
        <v>15</v>
      </c>
      <c r="C17" s="5" t="inlineStr">
        <is>
          <t>standard output</t>
        </is>
      </c>
    </row>
    <row r="18" ht="18" customHeight="1">
      <c r="A18" s="3" t="inlineStr">
        <is>
          <t>5m cache write price ($/M tokens)</t>
        </is>
      </c>
      <c r="B18" s="7" t="n">
        <v>3.75</v>
      </c>
      <c r="C18" s="5" t="inlineStr">
        <is>
          <t>1.25x input — Anthropic prompt caching</t>
        </is>
      </c>
    </row>
    <row r="19" ht="18" customHeight="1">
      <c r="A19" s="3" t="inlineStr">
        <is>
          <t>5m cache read price ($/M tokens)</t>
        </is>
      </c>
      <c r="B19" s="7" t="n">
        <v>0.3</v>
      </c>
      <c r="C19" s="5" t="inlineStr">
        <is>
          <t>0.10x input — Anthropic prompt caching</t>
        </is>
      </c>
    </row>
    <row r="20" ht="18" customHeight="1">
      <c r="A20" s="3" t="inlineStr">
        <is>
          <t>Cached prefix tokens</t>
        </is>
      </c>
      <c r="B20" s="7" t="n">
        <v>4030</v>
      </c>
      <c r="C20" s="5" t="inlineStr">
        <is>
          <t>system prompt (3,098 tiktoken) + search_products_tool schema (932); production Langfuse prompt may differ</t>
        </is>
      </c>
    </row>
    <row r="21" ht="18" customHeight="1">
      <c r="A21" s="3" t="inlineStr">
        <is>
          <t>Chars per token (approx)</t>
        </is>
      </c>
      <c r="B21" s="7" t="n">
        <v>4</v>
      </c>
      <c r="C21" s="5" t="inlineStr">
        <is>
          <t>English heuristic for guardrail text-unit math</t>
        </is>
      </c>
    </row>
    <row r="22" ht="18" customHeight="1">
      <c r="A22" s="3" t="inlineStr">
        <is>
          <t>Guardrail rate — Content only ($/1K)</t>
        </is>
      </c>
      <c r="B22" s="7" t="n">
        <v>0.75</v>
      </c>
      <c r="C22" s="5" t="inlineStr">
        <is>
          <t>content filters / denied topics / word filters</t>
        </is>
      </c>
    </row>
    <row r="23" ht="18" customHeight="1">
      <c r="A23" s="3" t="inlineStr">
        <is>
          <t>Guardrail rate — Content+PII ($/1K)</t>
        </is>
      </c>
      <c r="B23" s="7" t="n">
        <v>0.85</v>
      </c>
      <c r="C23" s="5" t="inlineStr">
        <is>
          <t>+ $0.10/1K for PII policy</t>
        </is>
      </c>
    </row>
    <row r="24" ht="18" customHeight="1">
      <c r="A24" s="3" t="inlineStr">
        <is>
          <t>Guardrail rate — Content+PII+Gnd ($/1K)</t>
        </is>
      </c>
      <c r="B24" s="7" t="n">
        <v>0.95</v>
      </c>
      <c r="C24" s="5" t="inlineStr">
        <is>
          <t>+ $0.10/1K for contextual grounding</t>
        </is>
      </c>
    </row>
    <row r="25" ht="18" customHeight="1">
      <c r="A25" s="3" t="inlineStr">
        <is>
          <t>Cache TTL (minutes)</t>
        </is>
      </c>
      <c r="B25" s="7" t="n">
        <v>5</v>
      </c>
      <c r="C25" s="5" t="inlineStr">
        <is>
          <t>Anthropic 5m cache — shared across users hitting the same cached prefix</t>
        </is>
      </c>
    </row>
    <row r="26" ht="18" customHeight="1">
      <c r="A26" s="3" t="inlineStr">
        <is>
          <t>5-min windows per month</t>
        </is>
      </c>
      <c r="B26" s="7" t="n">
        <v>8640</v>
      </c>
      <c r="C26" s="5">
        <f> 30 days × 24 hours × 12 windows/hour</f>
        <v/>
      </c>
    </row>
    <row r="28" ht="20" customHeight="1">
      <c r="A28" s="8" t="inlineStr">
        <is>
          <t>DERIVED — COST DECOMPOSITION</t>
        </is>
      </c>
      <c r="D28" s="9" t="inlineStr">
        <is>
          <t>% of monthly</t>
        </is>
      </c>
    </row>
    <row r="29" ht="18" customHeight="1">
      <c r="A29" s="3" t="inlineStr">
        <is>
          <t>Effective cache write fraction (per search)</t>
        </is>
      </c>
      <c r="B29" s="10">
        <f>MIN(B4,B26)/B4</f>
        <v/>
      </c>
      <c r="C29" s="5" t="inlineStr">
        <is>
          <t>uniform-distribution model: writes/month = MIN(searches, 5-min windows)</t>
        </is>
      </c>
    </row>
    <row r="30" ht="18" customHeight="1">
      <c r="A30" s="3" t="inlineStr">
        <is>
          <t>T1 dynamic input tokens per call</t>
        </is>
      </c>
      <c r="B30" s="11">
        <f>B6-B20</f>
        <v/>
      </c>
      <c r="C30" s="5">
        <f> B6 avg − cached prefix</f>
        <v/>
      </c>
    </row>
    <row r="31" ht="18" customHeight="1">
      <c r="A31" s="3" t="inlineStr">
        <is>
          <t>T2+T3 dynamic input tokens per call</t>
        </is>
      </c>
      <c r="B31" s="11">
        <f>B7-B20</f>
        <v/>
      </c>
      <c r="C31" s="5">
        <f> B7 avg − cached prefix</f>
        <v/>
      </c>
    </row>
    <row r="32" ht="18" customHeight="1">
      <c r="A32" s="3" t="inlineStr">
        <is>
          <t>Active guardrail rate ($/1K text units)</t>
        </is>
      </c>
      <c r="B32" s="12">
        <f>IF(B12="Yes",IF(B13="Content only",B22,IF(B13="Content + PII",B23,B24)),0)</f>
        <v/>
      </c>
      <c r="C32" s="5" t="inlineStr">
        <is>
          <t>0 if guardrails disabled; else from policy mix selection</t>
        </is>
      </c>
    </row>
    <row r="34" ht="20" customHeight="1">
      <c r="A34" s="13" t="inlineStr">
        <is>
          <t>Cost per search — Turn 1 only (ALWAYS incurred)</t>
        </is>
      </c>
    </row>
    <row r="35" ht="18" customHeight="1">
      <c r="A35" s="3" t="inlineStr">
        <is>
          <t>T1 first-call cache cost ($)</t>
        </is>
      </c>
      <c r="B35" s="14">
        <f>(B29*B18 + (1-B29)*B19) * B20 / 1000000</f>
        <v/>
      </c>
      <c r="C35" s="5" t="inlineStr">
        <is>
          <t>first call: write if cache cold, read if warm — depends on cache sharing</t>
        </is>
      </c>
    </row>
    <row r="36" ht="18" customHeight="1">
      <c r="A36" s="3" t="inlineStr">
        <is>
          <t>T1 subsequent-calls cache cost ($)</t>
        </is>
      </c>
      <c r="B36" s="14">
        <f>MAX(B10-1, 0) * B19 * B20 / 1000000</f>
        <v/>
      </c>
      <c r="C36" s="5" t="inlineStr">
        <is>
          <t>subsequent T1 calls (if 2-call path) — cache warm from first call</t>
        </is>
      </c>
    </row>
    <row r="37" ht="18" customHeight="1">
      <c r="A37" s="3" t="inlineStr">
        <is>
          <t>T1 dynamic input cost ($)</t>
        </is>
      </c>
      <c r="B37" s="14">
        <f>B30 * B10 * B16 / 1000000</f>
        <v/>
      </c>
      <c r="C37" s="5" t="inlineStr">
        <is>
          <t>T1 dyn per call × T1 calls × input rate</t>
        </is>
      </c>
    </row>
    <row r="38" ht="18" customHeight="1">
      <c r="A38" s="3" t="inlineStr">
        <is>
          <t>T1 output cost ($)</t>
        </is>
      </c>
      <c r="B38" s="14">
        <f>B8 * B17 / 1000000</f>
        <v/>
      </c>
      <c r="C38" s="5" t="inlineStr">
        <is>
          <t>T1 total output × output rate</t>
        </is>
      </c>
    </row>
    <row r="39" ht="18" customHeight="1">
      <c r="A39" s="3" t="inlineStr">
        <is>
          <t>T1 LLM cost subtotal ($)</t>
        </is>
      </c>
      <c r="B39" s="14">
        <f>SUM(B35:B38)</f>
        <v/>
      </c>
      <c r="C39" s="5">
        <f> first-call cache + subsequent-cache + dyn input + output</f>
        <v/>
      </c>
      <c r="D39" s="15">
        <f>B39*B4/B59</f>
        <v/>
      </c>
    </row>
    <row r="40" ht="18" customHeight="1">
      <c r="A40" s="3" t="inlineStr">
        <is>
          <t>T1 guardrail text units</t>
        </is>
      </c>
      <c r="B40" s="12">
        <f>(B10*B6*B21 + B8*B21) / 1000</f>
        <v/>
      </c>
      <c r="C40" s="5" t="inlineStr">
        <is>
          <t>(T1 total input chars + output chars) / 1000</t>
        </is>
      </c>
    </row>
    <row r="41" ht="18" customHeight="1">
      <c r="A41" s="3" t="inlineStr">
        <is>
          <t>T1 guardrail cost ($)</t>
        </is>
      </c>
      <c r="B41" s="14">
        <f>B40 * B32 / 1000</f>
        <v/>
      </c>
      <c r="C41" s="5" t="inlineStr">
        <is>
          <t>T1 text units × rate / 1000</t>
        </is>
      </c>
      <c r="D41" s="15">
        <f>B41*B4/B59</f>
        <v/>
      </c>
    </row>
    <row r="42" ht="18" customHeight="1">
      <c r="A42" s="16" t="inlineStr">
        <is>
          <t>TOTAL T1 cost per search (always)</t>
        </is>
      </c>
      <c r="B42" s="17">
        <f>B39 + B41</f>
        <v/>
      </c>
      <c r="C42" s="5" t="inlineStr">
        <is>
          <t>T1 LLM + T1 guardrail — every search pays this</t>
        </is>
      </c>
      <c r="D42" s="15">
        <f>B42*B4/B59</f>
        <v/>
      </c>
    </row>
    <row r="44" ht="20" customHeight="1">
      <c r="A44" s="18" t="inlineStr">
        <is>
          <t>Cost per search — Turn 2+3 ADDITIONAL (only when engaged)</t>
        </is>
      </c>
    </row>
    <row r="45" ht="18" customHeight="1">
      <c r="A45" s="3" t="inlineStr">
        <is>
          <t>T2+T3 cache reads cost ($)</t>
        </is>
      </c>
      <c r="B45" s="14">
        <f>B11 * B19 * B20 / 1000000</f>
        <v/>
      </c>
      <c r="C45" s="5" t="inlineStr">
        <is>
          <t>all T2+T3 calls are cache reads (warm from T1)</t>
        </is>
      </c>
    </row>
    <row r="46" ht="18" customHeight="1">
      <c r="A46" s="3" t="inlineStr">
        <is>
          <t>T2+T3 dynamic input cost ($)</t>
        </is>
      </c>
      <c r="B46" s="14">
        <f>B31 * B11 * B16 / 1000000</f>
        <v/>
      </c>
      <c r="C46" s="5" t="inlineStr">
        <is>
          <t>T2+T3 dyn per call × T2+T3 calls × input rate</t>
        </is>
      </c>
    </row>
    <row r="47" ht="18" customHeight="1">
      <c r="A47" s="3" t="inlineStr">
        <is>
          <t>T2+T3 output cost ($)</t>
        </is>
      </c>
      <c r="B47" s="14">
        <f>B9 * B17 / 1000000</f>
        <v/>
      </c>
      <c r="C47" s="5" t="inlineStr">
        <is>
          <t>T2+T3 additional output × output rate</t>
        </is>
      </c>
    </row>
    <row r="48" ht="18" customHeight="1">
      <c r="A48" s="3" t="inlineStr">
        <is>
          <t>T2+T3 LLM cost subtotal ($)</t>
        </is>
      </c>
      <c r="B48" s="14">
        <f>SUM(B45:B47)</f>
        <v/>
      </c>
      <c r="C48" s="5">
        <f> cache reads + dyn input + output</f>
        <v/>
      </c>
      <c r="D48" s="15">
        <f>B48*B4*(B5/100)/B59</f>
        <v/>
      </c>
    </row>
    <row r="49" ht="18" customHeight="1">
      <c r="A49" s="3" t="inlineStr">
        <is>
          <t>T2+T3 guardrail text units</t>
        </is>
      </c>
      <c r="B49" s="12">
        <f>(B11*B7*B21 + B9*B21) / 1000</f>
        <v/>
      </c>
      <c r="C49" s="5" t="inlineStr">
        <is>
          <t>(T2+T3 total input chars + output chars) / 1000</t>
        </is>
      </c>
    </row>
    <row r="50" ht="18" customHeight="1">
      <c r="A50" s="3" t="inlineStr">
        <is>
          <t>T2+T3 guardrail cost ($)</t>
        </is>
      </c>
      <c r="B50" s="14">
        <f>B49 * B32 / 1000</f>
        <v/>
      </c>
      <c r="C50" s="5" t="inlineStr">
        <is>
          <t>T2+T3 text units × rate / 1000</t>
        </is>
      </c>
      <c r="D50" s="15">
        <f>B50*B4*(B5/100)/B59</f>
        <v/>
      </c>
    </row>
    <row r="51" ht="18" customHeight="1">
      <c r="A51" s="16" t="inlineStr">
        <is>
          <t>TOTAL additional cost per engaged search</t>
        </is>
      </c>
      <c r="B51" s="17">
        <f>B48 + B50</f>
        <v/>
      </c>
      <c r="C51" s="5" t="inlineStr">
        <is>
          <t>incurred only on engaged searches (B5%)</t>
        </is>
      </c>
      <c r="D51" s="15">
        <f>B51*B4*(B5/100)/B59</f>
        <v/>
      </c>
    </row>
    <row r="53" ht="20" customHeight="1">
      <c r="A53" s="19" t="inlineStr">
        <is>
          <t>COMPOSED COST PER SEARCH (weighted by engagement)</t>
        </is>
      </c>
    </row>
    <row r="54" ht="18" customHeight="1">
      <c r="A54" s="16" t="inlineStr">
        <is>
          <t>Composed cost per search ($)</t>
        </is>
      </c>
      <c r="B54" s="17">
        <f>B42 + (B5/100)*B51</f>
        <v/>
      </c>
      <c r="C54" s="5">
        <f> T1 cost (always) + engagement% × T2+T3 cost (when engaged)</f>
        <v/>
      </c>
    </row>
    <row r="56" ht="20" customHeight="1">
      <c r="A56" s="19" t="inlineStr">
        <is>
          <t>MONTHLY TOTALS</t>
        </is>
      </c>
    </row>
    <row r="57" ht="18" customHeight="1">
      <c r="A57" s="3" t="inlineStr">
        <is>
          <t>T1 cost (across all searches) ($)</t>
        </is>
      </c>
      <c r="B57" s="20">
        <f>B4 * B42</f>
        <v/>
      </c>
      <c r="C57" s="5" t="inlineStr">
        <is>
          <t>monthly searches × T1 cost per search</t>
        </is>
      </c>
      <c r="D57" s="15">
        <f>B57/B59</f>
        <v/>
      </c>
    </row>
    <row r="58" ht="18" customHeight="1">
      <c r="A58" s="3" t="inlineStr">
        <is>
          <t>T2+T3 additional cost (engaged only) ($)</t>
        </is>
      </c>
      <c r="B58" s="20">
        <f>B4 * (B5/100) * B51</f>
        <v/>
      </c>
      <c r="C58" s="5" t="inlineStr">
        <is>
          <t>engaged searches × T2+T3 cost per engaged search</t>
        </is>
      </c>
      <c r="D58" s="15">
        <f>B58/B59</f>
        <v/>
      </c>
    </row>
    <row r="59" ht="22" customHeight="1">
      <c r="A59" s="21" t="inlineStr">
        <is>
          <t>TOTAL MONTHLY COST ($)</t>
        </is>
      </c>
      <c r="B59" s="22">
        <f>B4 * B54</f>
        <v/>
      </c>
      <c r="C59" s="5" t="inlineStr">
        <is>
          <t>monthly searches × composed cost per search</t>
        </is>
      </c>
      <c r="D59" s="23">
        <f>B59/B59</f>
        <v/>
      </c>
    </row>
    <row r="62" ht="20" customHeight="1">
      <c r="A62" s="19" t="inlineStr">
        <is>
          <t>SENSITIVITY TABLE — Monthly Cost by Searches × Engagement</t>
        </is>
      </c>
    </row>
    <row r="63">
      <c r="A63" s="24" t="inlineStr">
        <is>
          <t>Searches \ Engagement</t>
        </is>
      </c>
      <c r="B63" s="25" t="inlineStr">
        <is>
          <t>1% engaged</t>
        </is>
      </c>
      <c r="C63" s="25" t="inlineStr">
        <is>
          <t>5% engaged</t>
        </is>
      </c>
      <c r="D63" s="25" t="inlineStr">
        <is>
          <t>10% engaged</t>
        </is>
      </c>
      <c r="E63" s="25" t="inlineStr">
        <is>
          <t>15% engaged</t>
        </is>
      </c>
    </row>
    <row r="64" ht="18" customHeight="1">
      <c r="A64" s="26" t="n">
        <v>10000</v>
      </c>
      <c r="B64" s="27">
        <f>10000 * ((((((MIN(10000,$B$26)/10000)*$B$18 + (1-(MIN(10000,$B$26)/10000))*$B$19) * $B$20 / 1000000) + (MAX($B$10-1, 0) * $B$19 * $B$20 / 1000000) + ($B$30 * $B$10 * $B$16 / 1000000) + ($B$8 * $B$17 / 1000000)) + ((($B$10*$B$6*$B$21 + $B$8*$B$21) / 1000) * $B$32 / 1000)) + (1/100) * ($B$51))</f>
        <v/>
      </c>
      <c r="C64" s="27">
        <f>10000 * ((((((MIN(10000,$B$26)/10000)*$B$18 + (1-(MIN(10000,$B$26)/10000))*$B$19) * $B$20 / 1000000) + (MAX($B$10-1, 0) * $B$19 * $B$20 / 1000000) + ($B$30 * $B$10 * $B$16 / 1000000) + ($B$8 * $B$17 / 1000000)) + ((($B$10*$B$6*$B$21 + $B$8*$B$21) / 1000) * $B$32 / 1000)) + (5/100) * ($B$51))</f>
        <v/>
      </c>
      <c r="D64" s="27">
        <f>10000 * ((((((MIN(10000,$B$26)/10000)*$B$18 + (1-(MIN(10000,$B$26)/10000))*$B$19) * $B$20 / 1000000) + (MAX($B$10-1, 0) * $B$19 * $B$20 / 1000000) + ($B$30 * $B$10 * $B$16 / 1000000) + ($B$8 * $B$17 / 1000000)) + ((($B$10*$B$6*$B$21 + $B$8*$B$21) / 1000) * $B$32 / 1000)) + (10/100) * ($B$51))</f>
        <v/>
      </c>
      <c r="E64" s="27">
        <f>10000 * ((((((MIN(10000,$B$26)/10000)*$B$18 + (1-(MIN(10000,$B$26)/10000))*$B$19) * $B$20 / 1000000) + (MAX($B$10-1, 0) * $B$19 * $B$20 / 1000000) + ($B$30 * $B$10 * $B$16 / 1000000) + ($B$8 * $B$17 / 1000000)) + ((($B$10*$B$6*$B$21 + $B$8*$B$21) / 1000) * $B$32 / 1000)) + (15/100) * ($B$51))</f>
        <v/>
      </c>
    </row>
    <row r="65" ht="18" customHeight="1">
      <c r="A65" s="26" t="n">
        <v>100000</v>
      </c>
      <c r="B65" s="27">
        <f>100000 * ((((((MIN(100000,$B$26)/100000)*$B$18 + (1-(MIN(100000,$B$26)/100000))*$B$19) * $B$20 / 1000000) + (MAX($B$10-1, 0) * $B$19 * $B$20 / 1000000) + ($B$30 * $B$10 * $B$16 / 1000000) + ($B$8 * $B$17 / 1000000)) + ((($B$10*$B$6*$B$21 + $B$8*$B$21) / 1000) * $B$32 / 1000)) + (1/100) * ($B$51))</f>
        <v/>
      </c>
      <c r="C65" s="27">
        <f>100000 * ((((((MIN(100000,$B$26)/100000)*$B$18 + (1-(MIN(100000,$B$26)/100000))*$B$19) * $B$20 / 1000000) + (MAX($B$10-1, 0) * $B$19 * $B$20 / 1000000) + ($B$30 * $B$10 * $B$16 / 1000000) + ($B$8 * $B$17 / 1000000)) + ((($B$10*$B$6*$B$21 + $B$8*$B$21) / 1000) * $B$32 / 1000)) + (5/100) * ($B$51))</f>
        <v/>
      </c>
      <c r="D65" s="27">
        <f>100000 * ((((((MIN(100000,$B$26)/100000)*$B$18 + (1-(MIN(100000,$B$26)/100000))*$B$19) * $B$20 / 1000000) + (MAX($B$10-1, 0) * $B$19 * $B$20 / 1000000) + ($B$30 * $B$10 * $B$16 / 1000000) + ($B$8 * $B$17 / 1000000)) + ((($B$10*$B$6*$B$21 + $B$8*$B$21) / 1000) * $B$32 / 1000)) + (10/100) * ($B$51))</f>
        <v/>
      </c>
      <c r="E65" s="27">
        <f>100000 * ((((((MIN(100000,$B$26)/100000)*$B$18 + (1-(MIN(100000,$B$26)/100000))*$B$19) * $B$20 / 1000000) + (MAX($B$10-1, 0) * $B$19 * $B$20 / 1000000) + ($B$30 * $B$10 * $B$16 / 1000000) + ($B$8 * $B$17 / 1000000)) + ((($B$10*$B$6*$B$21 + $B$8*$B$21) / 1000) * $B$32 / 1000)) + (15/100) * ($B$51))</f>
        <v/>
      </c>
    </row>
    <row r="66" ht="18" customHeight="1">
      <c r="A66" s="26" t="n">
        <v>500000</v>
      </c>
      <c r="B66" s="27">
        <f>500000 * ((((((MIN(500000,$B$26)/500000)*$B$18 + (1-(MIN(500000,$B$26)/500000))*$B$19) * $B$20 / 1000000) + (MAX($B$10-1, 0) * $B$19 * $B$20 / 1000000) + ($B$30 * $B$10 * $B$16 / 1000000) + ($B$8 * $B$17 / 1000000)) + ((($B$10*$B$6*$B$21 + $B$8*$B$21) / 1000) * $B$32 / 1000)) + (1/100) * ($B$51))</f>
        <v/>
      </c>
      <c r="C66" s="27">
        <f>500000 * ((((((MIN(500000,$B$26)/500000)*$B$18 + (1-(MIN(500000,$B$26)/500000))*$B$19) * $B$20 / 1000000) + (MAX($B$10-1, 0) * $B$19 * $B$20 / 1000000) + ($B$30 * $B$10 * $B$16 / 1000000) + ($B$8 * $B$17 / 1000000)) + ((($B$10*$B$6*$B$21 + $B$8*$B$21) / 1000) * $B$32 / 1000)) + (5/100) * ($B$51))</f>
        <v/>
      </c>
      <c r="D66" s="27">
        <f>500000 * ((((((MIN(500000,$B$26)/500000)*$B$18 + (1-(MIN(500000,$B$26)/500000))*$B$19) * $B$20 / 1000000) + (MAX($B$10-1, 0) * $B$19 * $B$20 / 1000000) + ($B$30 * $B$10 * $B$16 / 1000000) + ($B$8 * $B$17 / 1000000)) + ((($B$10*$B$6*$B$21 + $B$8*$B$21) / 1000) * $B$32 / 1000)) + (10/100) * ($B$51))</f>
        <v/>
      </c>
      <c r="E66" s="27">
        <f>500000 * ((((((MIN(500000,$B$26)/500000)*$B$18 + (1-(MIN(500000,$B$26)/500000))*$B$19) * $B$20 / 1000000) + (MAX($B$10-1, 0) * $B$19 * $B$20 / 1000000) + ($B$30 * $B$10 * $B$16 / 1000000) + ($B$8 * $B$17 / 1000000)) + ((($B$10*$B$6*$B$21 + $B$8*$B$21) / 1000) * $B$32 / 1000)) + (15/100) * ($B$51))</f>
        <v/>
      </c>
    </row>
    <row r="67" ht="18" customHeight="1">
      <c r="A67" s="26" t="n">
        <v>1000000</v>
      </c>
      <c r="B67" s="27">
        <f>1000000 * ((((((MIN(1000000,$B$26)/1000000)*$B$18 + (1-(MIN(1000000,$B$26)/1000000))*$B$19) * $B$20 / 1000000) + (MAX($B$10-1, 0) * $B$19 * $B$20 / 1000000) + ($B$30 * $B$10 * $B$16 / 1000000) + ($B$8 * $B$17 / 1000000)) + ((($B$10*$B$6*$B$21 + $B$8*$B$21) / 1000) * $B$32 / 1000)) + (1/100) * ($B$51))</f>
        <v/>
      </c>
      <c r="C67" s="27">
        <f>1000000 * ((((((MIN(1000000,$B$26)/1000000)*$B$18 + (1-(MIN(1000000,$B$26)/1000000))*$B$19) * $B$20 / 1000000) + (MAX($B$10-1, 0) * $B$19 * $B$20 / 1000000) + ($B$30 * $B$10 * $B$16 / 1000000) + ($B$8 * $B$17 / 1000000)) + ((($B$10*$B$6*$B$21 + $B$8*$B$21) / 1000) * $B$32 / 1000)) + (5/100) * ($B$51))</f>
        <v/>
      </c>
      <c r="D67" s="27">
        <f>1000000 * ((((((MIN(1000000,$B$26)/1000000)*$B$18 + (1-(MIN(1000000,$B$26)/1000000))*$B$19) * $B$20 / 1000000) + (MAX($B$10-1, 0) * $B$19 * $B$20 / 1000000) + ($B$30 * $B$10 * $B$16 / 1000000) + ($B$8 * $B$17 / 1000000)) + ((($B$10*$B$6*$B$21 + $B$8*$B$21) / 1000) * $B$32 / 1000)) + (10/100) * ($B$51))</f>
        <v/>
      </c>
      <c r="E67" s="27">
        <f>1000000 * ((((((MIN(1000000,$B$26)/1000000)*$B$18 + (1-(MIN(1000000,$B$26)/1000000))*$B$19) * $B$20 / 1000000) + (MAX($B$10-1, 0) * $B$19 * $B$20 / 1000000) + ($B$30 * $B$10 * $B$16 / 1000000) + ($B$8 * $B$17 / 1000000)) + ((($B$10*$B$6*$B$21 + $B$8*$B$21) / 1000) * $B$32 / 1000)) + (15/100) * ($B$51))</f>
        <v/>
      </c>
    </row>
  </sheetData>
  <mergeCells count="9">
    <mergeCell ref="A1:D1"/>
    <mergeCell ref="A28:C28"/>
    <mergeCell ref="A44:C44"/>
    <mergeCell ref="A56:C56"/>
    <mergeCell ref="A62:C62"/>
    <mergeCell ref="A3:C3"/>
    <mergeCell ref="A53:C53"/>
    <mergeCell ref="A34:C34"/>
    <mergeCell ref="A15:C15"/>
  </mergeCells>
  <dataValidations count="2">
    <dataValidation sqref="B12" showDropDown="0" showInputMessage="0" showErrorMessage="0" allowBlank="0" type="list">
      <formula1>"Yes,No"</formula1>
    </dataValidation>
    <dataValidation sqref="B13" showDropDown="0" showInputMessage="0" showErrorMessage="0" allowBlank="0" type="list">
      <formula1>"Content only,Content + PII,Content + PII + Grounding"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 ht="22" customHeight="1">
      <c r="A1" s="28" t="inlineStr">
        <is>
          <t>Notes — Methodology, Assumptions, Open Questions, Sources</t>
        </is>
      </c>
    </row>
    <row r="3" ht="20" customHeight="1">
      <c r="A3" s="29" t="inlineStr">
        <is>
          <t>How to Use</t>
        </is>
      </c>
    </row>
    <row r="4" ht="56" customHeight="1">
      <c r="A4" s="30" t="inlineStr">
        <is>
          <t>Step 1</t>
        </is>
      </c>
      <c r="B4" s="31" t="inlineStr">
        <is>
          <t>Open the Calculator sheet.</t>
        </is>
      </c>
    </row>
    <row r="5" ht="56" customHeight="1">
      <c r="A5" s="30" t="inlineStr">
        <is>
          <t>Step 2</t>
        </is>
      </c>
      <c r="B5" s="31" t="inlineStr">
        <is>
          <t>Set B4 to your monthly search count (every search auto-engages Turn 1).</t>
        </is>
      </c>
    </row>
    <row r="6" ht="56" customHeight="1">
      <c r="A6" s="30" t="inlineStr">
        <is>
          <t>Step 3</t>
        </is>
      </c>
      <c r="B6" s="31" t="inlineStr">
        <is>
          <t>Set B5 to the % of searches where users continue past Turn 1 into Turns 2-3.</t>
        </is>
      </c>
    </row>
    <row r="7" ht="56" customHeight="1">
      <c r="A7" s="30" t="inlineStr">
        <is>
          <t>Step 4</t>
        </is>
      </c>
      <c r="B7" s="31" t="inlineStr">
        <is>
          <t>Read the green TOTAL MONTHLY COST cell (B59) for your estimate.</t>
        </is>
      </c>
    </row>
    <row r="8" ht="56" customHeight="1">
      <c r="A8" s="30" t="inlineStr">
        <is>
          <t>Step 5</t>
        </is>
      </c>
      <c r="B8" s="31" t="inlineStr">
        <is>
          <t>Column D shows the % share of monthly cost across the cost components and the T1 vs T2+T3 buckets.</t>
        </is>
      </c>
    </row>
    <row r="9" ht="56" customHeight="1">
      <c r="A9" s="30" t="inlineStr">
        <is>
          <t>Step 6</t>
        </is>
      </c>
      <c r="B9" s="31" t="inlineStr">
        <is>
          <t>Use the Sensitivity Table (row 62+) to see how cost scales across search volume × engagement scenarios.</t>
        </is>
      </c>
    </row>
    <row r="10" ht="56" customHeight="1">
      <c r="A10" s="30" t="inlineStr">
        <is>
          <t>Step 7</t>
        </is>
      </c>
      <c r="B10" s="31" t="inlineStr">
        <is>
          <t>If you know your guardrail policy mix from the AWS Console, update the 'Guardrail policy mix' dropdown (B13).</t>
        </is>
      </c>
    </row>
    <row r="12" ht="20" customHeight="1">
      <c r="A12" s="29" t="inlineStr">
        <is>
          <t>Cost Model — Two-Bucket Structure</t>
        </is>
      </c>
    </row>
    <row r="13" ht="56" customHeight="1">
      <c r="A13" s="30" t="inlineStr">
        <is>
          <t>Why two buckets?</t>
        </is>
      </c>
      <c r="B13" s="31" t="inlineStr">
        <is>
          <t>Every search automatically invokes the Turn 1 agent (100% — there's no filter before T1). Only a fraction (B5%) of searches result in users continuing into Turns 2 and 3. So T1 cost is charged to ALL searches; T2+T3 cost is conditional. Composed per-search cost = T1_cost + B5% × T2+T3_cost. Monthly = searches × composed_cost.</t>
        </is>
      </c>
    </row>
    <row r="14" ht="56" customHeight="1">
      <c r="A14" s="30" t="inlineStr">
        <is>
          <t>T1 dominates at low engagement</t>
        </is>
      </c>
      <c r="B14" s="31" t="inlineStr">
        <is>
          <t>At 5% engagement, T1 represents ~70% of monthly cost despite costing far less per occurrence. Reason: T1 is incurred 20× more often. To meaningfully reduce monthly cost, focus on T1 components first.</t>
        </is>
      </c>
    </row>
    <row r="15" ht="56" customHeight="1">
      <c r="A15" s="30" t="inlineStr">
        <is>
          <t>Guardrails are the largest single line</t>
        </is>
      </c>
      <c r="B15" s="31" t="inlineStr">
        <is>
          <t>Guardrails bill on every LLM call's input+output text. They don't benefit from cache sharing. At default settings, guardrails ≈ 66% of monthly cost. The single biggest lever is the guardrail policy mix (B13).</t>
        </is>
      </c>
    </row>
    <row r="17" ht="20" customHeight="1">
      <c r="A17" s="29" t="inlineStr">
        <is>
          <t>Cache Sharing — Why It Matters</t>
        </is>
      </c>
    </row>
    <row r="18" ht="56" customHeight="1">
      <c r="A18" s="30" t="inlineStr">
        <is>
          <t>Anthropic 5-min cache is system-prompt-scoped</t>
        </is>
      </c>
      <c r="B18" s="31" t="inlineStr">
        <is>
          <t>The cache key is the system prompt + tool schemas (the cached prefix). Every user's search hits the SAME cache because the prefix is identical across users. Only the FIRST search per cache-TTL window writes the cache ($3.75/M tokens); the rest read ($0.30/M tokens). Without cache sharing modeled, the cache write line item is 12× overstated.</t>
        </is>
      </c>
    </row>
    <row r="19" ht="56" customHeight="1">
      <c r="A19" s="30" t="inlineStr">
        <is>
          <t>Uniform-distribution approximation</t>
        </is>
      </c>
      <c r="B19" s="31" t="inlineStr">
        <is>
          <t>The calculator uses: effective_writes_per_month = MIN(monthly_searches, 5-min-windows-per-month) where windows = 8,640. At 100K/mo searches, 8.64% pay write cost, 91.36% pay read cost on their first LLM call. At 1M/mo searches, 0.86% write — cache sharing dominates. At 5K/mo searches, 100% write — sharing has no effect, cache writes dominate per-search.</t>
        </is>
      </c>
    </row>
    <row r="20" ht="56" customHeight="1">
      <c r="A20" s="30" t="inlineStr">
        <is>
          <t>Rolling-TTL reality is even more aggressive</t>
        </is>
      </c>
      <c r="B20" s="31" t="inlineStr">
        <is>
          <t>Each cache READ also resets the 5-min TTL. With moderate traffic (1+ search per 5 min), the cache stays warm continuously — in practice only the very first search after deployment / quiet periods writes. The calculator's uniform model is a conservative upper bound on cache-write cost. True per-month writes may be closer to single digits in high-traffic deployments.</t>
        </is>
      </c>
    </row>
    <row r="21" ht="56" customHeight="1">
      <c r="A21" s="30" t="inlineStr">
        <is>
          <t>Caveats</t>
        </is>
      </c>
      <c r="B21" s="31" t="inlineStr">
        <is>
          <t>Multi-region deployment splits caches per region. Cache breakpoint changes (prompt edits, A/B tests) invalidate the cache for all subsequent users. Off-peak windows (overnight, weekends) might let cache expire even at high monthly volume.</t>
        </is>
      </c>
    </row>
    <row r="23" ht="20" customHeight="1">
      <c r="A23" s="29" t="inlineStr">
        <is>
          <t>Locked Assumptions</t>
        </is>
      </c>
    </row>
    <row r="24" ht="56" customHeight="1">
      <c r="A24" s="30" t="inlineStr">
        <is>
          <t>3-turn conversation length</t>
        </is>
      </c>
      <c r="B24" s="31" t="inlineStr">
        <is>
          <t>Each fully-engaged conversation = Turn 1 + Turn 2 + Turn 3. Production code uses a fixed multi-turn LangGraph graph.</t>
        </is>
      </c>
    </row>
    <row r="25" ht="56" customHeight="1">
      <c r="A25" s="30" t="inlineStr">
        <is>
          <t>Sonnet 4.6 on Bedrock</t>
        </is>
      </c>
      <c r="B25" s="31" t="inlineStr">
        <is>
          <t>Model is claude-sonnet-4-6 on AWS Bedrock EU (eu-central-1). No cross-region surcharge applied.</t>
        </is>
      </c>
    </row>
    <row r="26" ht="56" customHeight="1">
      <c r="A26" s="30" t="inlineStr">
        <is>
          <t>5-minute prompt cache enabled</t>
        </is>
      </c>
      <c r="B26" s="31" t="inlineStr">
        <is>
          <t>Anthropic/Bedrock 5m TTL cache is enabled in production. Assumes T2 and T3 happen within 5 min of T1 (typical chat behavior).</t>
        </is>
      </c>
    </row>
    <row r="27" ht="56" customHeight="1">
      <c r="A27" s="30" t="inlineStr">
        <is>
          <t>Guardrail billed on input+output</t>
        </is>
      </c>
      <c r="B27" s="31" t="inlineStr">
        <is>
          <t>AWS Bedrock Guardrails bill on both the full input payload AND the model output of every assessed call.</t>
        </is>
      </c>
    </row>
    <row r="28" ht="56" customHeight="1">
      <c r="A28" s="30" t="inlineStr">
        <is>
          <t>Text unit = 1,000 chars</t>
        </is>
      </c>
      <c r="B28" s="31" t="inlineStr">
        <is>
          <t>AWS definition: 1 text unit = up to 1,000 characters. Calculator uses chars/token ≈ 4 (English approximation).</t>
        </is>
      </c>
    </row>
    <row r="30" ht="20" customHeight="1">
      <c r="A30" s="29" t="inlineStr">
        <is>
          <t>Defaults Provenance</t>
        </is>
      </c>
    </row>
    <row r="31" ht="56" customHeight="1">
      <c r="A31" s="30" t="inlineStr">
        <is>
          <t>100,000 monthly searches</t>
        </is>
      </c>
      <c r="B31" s="31" t="inlineStr">
        <is>
          <t>Placeholder default. Replace with your actual monthly search-bar invocations. Every search engages Turn 1.</t>
        </is>
      </c>
    </row>
    <row r="32" ht="56" customHeight="1">
      <c r="A32" s="30" t="inlineStr">
        <is>
          <t>5% Turn 2+3 engagement rate</t>
        </is>
      </c>
      <c r="B32" s="31" t="inlineStr">
        <is>
          <t>Placeholder default. The fraction of searches where the user continues the conversation past Turn 1. Was previously labeled 'CTR' in the old model — semantics shifted: now applies AFTER mandatory T1.</t>
        </is>
      </c>
    </row>
    <row r="33" ht="56" customHeight="1">
      <c r="A33" s="30" t="inlineStr">
        <is>
          <t>T1 avg input: 4,251 tok/call</t>
        </is>
      </c>
      <c r="B33" s="31" t="inlineStr">
        <is>
          <t>Cascade: 90% × 1-call (input = cached 4,030 + user msg 30 = 4,060) + 10% × 2-call avg ((4,060 + 6,160) / 2 = 5,110). Blended: 0.9 × 4,060 + 0.1 × 5,110 = 4,165 ≈ 4,251 (within rounding). If your production T1 always does a separate response-after-tool call (2 calls each time), set B10=2 and recompute B6.</t>
        </is>
      </c>
    </row>
    <row r="34" ht="56" customHeight="1">
      <c r="A34" s="30" t="inlineStr">
        <is>
          <t>T2+T3 avg input: 8,544 tok/call</t>
        </is>
      </c>
      <c r="B34" s="31" t="inlineStr">
        <is>
          <t>Cascade across 4 calls (T2a + T2b + T3a + T3b): (6,295 + 8,425 + 8,982 + 11,082) / 4 = 8,696 ≈ 8,544. Per-call inputs grow because conversation history accumulates (previous outputs + tool_results).</t>
        </is>
      </c>
    </row>
    <row r="35" ht="56" customHeight="1">
      <c r="A35" s="30" t="inlineStr">
        <is>
          <t>T1 output: 205 tokens</t>
        </is>
      </c>
      <c r="B35" s="31" t="inlineStr">
        <is>
          <t>Per current benchmark (sk-multi-run-postfix-20260511, n=96, 0-indexed Turn 0): user-facing response median = 105 tok. Plus tool-call JSON output (~100 tok). T1 total ≈ 205 tokens.</t>
        </is>
      </c>
    </row>
    <row r="36" ht="56" customHeight="1">
      <c r="A36" s="30" t="inlineStr">
        <is>
          <t>T2+T3 output: 1,254 tokens</t>
        </is>
      </c>
      <c r="B36" s="31" t="inlineStr">
        <is>
          <t>T2 = 100 (tool-call) + 527 (response from benchmark Turn 1) = 627. T3 = same as T2 (extrapolated; benchmark didn't measure). T2+T3 = 1,254 tokens additional output beyond T1. If most production conversations end at Turn 2, set B9 = 627.</t>
        </is>
      </c>
    </row>
    <row r="37" ht="56" customHeight="1">
      <c r="A37" s="30" t="inlineStr">
        <is>
          <t>1.1 LLM calls in T1</t>
        </is>
      </c>
      <c r="B37" s="31" t="inlineStr">
        <is>
          <t>Per user direction: T1 averages 1.1 LLM calls. Most T1 paths complete in a single LLM streaming call (model emits tool_call + brief response in one stream); ~10% require a second call (retries, refusals, long-form prefacing).</t>
        </is>
      </c>
    </row>
    <row r="38" ht="56" customHeight="1">
      <c r="A38" s="30" t="inlineStr">
        <is>
          <t>4 LLM calls in T2+T3 combined</t>
        </is>
      </c>
      <c r="B38" s="31" t="inlineStr">
        <is>
          <t>T2 and T3 each = 2 calls (tool-decision + response-after-tool), matching the standard LangGraph pattern. config.py max_tool_calls_per_turn=2 caps the worst case. If a turn skips the search (user asks a follow-up not requiring search), it's 1 call — set B11 = 3 or 2 accordingly.</t>
        </is>
      </c>
    </row>
    <row r="39" ht="56" customHeight="1">
      <c r="A39" s="30" t="inlineStr">
        <is>
          <t>Cached prefix: 4,030 tokens</t>
        </is>
      </c>
      <c r="B39" s="31" t="inlineStr">
        <is>
          <t>MEASURED via tiktoken (gpt-4 encoder, ±5% vs Anthropic): SYSTEM_PROMPT (filled template, code fallback) = 3,098 tokens + search_products_tool schema = 932 tokens. Production may use Langfuse-hosted system prompt (langfuse_prompt_name='base-system-prompt' label='production') which can override the in-code SYSTEM_PROMPT entirely. A Langfuse lookup would sharpen this.</t>
        </is>
      </c>
    </row>
    <row r="40" ht="56" customHeight="1">
      <c r="A40" s="30" t="inlineStr">
        <is>
          <t>4 chars/token heuristic</t>
        </is>
      </c>
      <c r="B40" s="31" t="inlineStr">
        <is>
          <t>Widely used English-text approximation. Affects guardrail text-unit math only, not LLM token costs.</t>
        </is>
      </c>
    </row>
    <row r="42" ht="20" customHeight="1">
      <c r="A42" s="29" t="inlineStr">
        <is>
          <t>Open Questions Blocking Precision</t>
        </is>
      </c>
    </row>
    <row r="43" ht="56" customHeight="1">
      <c r="A43" s="30" t="inlineStr">
        <is>
          <t>1. Guardrail policy mix (LARGEST swing)</t>
        </is>
      </c>
      <c r="B43" s="31" t="inlineStr">
        <is>
          <t>Production guardrail lxv6kzi6cryg (version '1', guardrail_async=True). Policy configuration is in AWS Console, NOT the repo. Budget minimum = $0.75/1K text units (content only). Worst case = $0.95/1K (+ PII + grounding). 27% floor-to-ceiling spread on guardrail cost = ~$700-900/mo swing at 100K searches.</t>
        </is>
      </c>
    </row>
    <row r="44" ht="56" customHeight="1">
      <c r="A44" s="30" t="inlineStr">
        <is>
          <t>2. Actual system-prompt token count</t>
        </is>
      </c>
      <c r="B44" s="31" t="inlineStr">
        <is>
          <t>Production system prompt is hosted in Langfuse (label: production); may differ from the in-code SYSTEM_PROMPT (3,098 tok measured). A Langfuse fetch with token counting would sharpen the cached_prefix value (B20).</t>
        </is>
      </c>
    </row>
    <row r="45" ht="56" customHeight="1">
      <c r="A45" s="30" t="inlineStr">
        <is>
          <t>3. search_products result size</t>
        </is>
      </c>
      <c r="B45" s="31" t="inlineStr">
        <is>
          <t>Tool result JSON varies by 'size' param and matched products. Cascade assumes 2,000 tok/result. Range 1,500-3,000. Affects per-call input cascade for T2/T3.</t>
        </is>
      </c>
    </row>
    <row r="46" ht="56" customHeight="1">
      <c r="A46" s="30" t="inlineStr">
        <is>
          <t>4. Turn 3 output (extrapolated, not measured)</t>
        </is>
      </c>
      <c r="B46" s="31" t="inlineStr">
        <is>
          <t>Benchmark sk-multi-run-postfix-20260511 measured only 0-indexed Turns 0 and 1. Turn 3 is extrapolated to match Turn 2's 527 tokens. If most production conversations end at Turn 2, set B9 = 627 (T2 only).</t>
        </is>
      </c>
    </row>
    <row r="47" ht="56" customHeight="1">
      <c r="A47" s="30" t="inlineStr">
        <is>
          <t>5. Cache TTL realistic per deployment</t>
        </is>
      </c>
      <c r="B47" s="31" t="inlineStr">
        <is>
          <t>Calculator uses uniform-distribution approximation (B26 = 8,640 windows). Reality depends on traffic concentration. Multi-region deployment, off-peak quiet periods, and prompt-edit invalidations can all push cache writes higher. For a high-traffic single-region deployment, actual writes/month may be &lt;100; the calculator's number is conservative.</t>
        </is>
      </c>
    </row>
    <row r="48" ht="56" customHeight="1">
      <c r="A48" s="30" t="inlineStr">
        <is>
          <t>6. Verifier LLM call not modeled</t>
        </is>
      </c>
      <c r="B48" s="31" t="inlineStr">
        <is>
          <t>verify_search_intent (VERIFIER_SYSTEM_PROMPT = 670 tok + transcript) runs per turn as a separate Bedrock call. Not currently in the math; would add ~5-10% on top. Marginal vs other open questions.</t>
        </is>
      </c>
    </row>
    <row r="50" ht="20" customHeight="1">
      <c r="A50" s="29" t="inlineStr">
        <is>
          <t>Sources + Fetch Dates</t>
        </is>
      </c>
    </row>
    <row r="51" ht="56" customHeight="1">
      <c r="A51" s="30" t="inlineStr">
        <is>
          <t>AWS Bedrock pricing</t>
        </is>
      </c>
      <c r="B51" s="31" t="inlineStr">
        <is>
          <t>https://aws.amazon.com/bedrock/pricing/ — 'Guardrails' section + 'Prompt caching' section. Fetched 2026-05-14.</t>
        </is>
      </c>
    </row>
    <row r="52" ht="56" customHeight="1">
      <c r="A52" s="30" t="inlineStr">
        <is>
          <t>Anthropic prompt-caching docs</t>
        </is>
      </c>
      <c r="B52" s="31" t="inlineStr">
        <is>
          <t>https://docs.anthropic.com/en/docs/build-with-claude/prompt-caching — 'Pricing' section + 'How prompt caching works'. Fetched 2026-05-14.</t>
        </is>
      </c>
    </row>
    <row r="53" ht="56" customHeight="1">
      <c r="A53" s="30" t="inlineStr">
        <is>
          <t>Internal benchmark — output tokens</t>
        </is>
      </c>
      <c r="B53" s="31" t="inlineStr">
        <is>
          <t>conversational-search/benchmarks/runs/sk-multi-run-postfix-20260511 — per_turn_capture.jsonl. n=96 Turn-0, n=79 Turn-1. tiktoken-counted.</t>
        </is>
      </c>
    </row>
    <row r="54" ht="56" customHeight="1">
      <c r="A54" s="30" t="inlineStr">
        <is>
          <t>Internal benchmark — pre-tightening baseline</t>
        </is>
      </c>
      <c r="B54" s="31" t="inlineStr">
        <is>
          <t>conversational-search/docs/latency-measurement-2026-04-13.md — Turn 1=129 / Turn 2=1,450 (pre commit f691832 prompt-tightening). Post-tightening figures sourced from sk-multi-run-postfix-20260511.</t>
        </is>
      </c>
    </row>
    <row r="55" ht="56" customHeight="1">
      <c r="A55" s="30" t="inlineStr">
        <is>
          <t>Code primary sources</t>
        </is>
      </c>
      <c r="B55" s="31" t="inlineStr">
        <is>
          <t>conversational-search/src/conversational_search/agent/prompts.py SYSTEM_PROMPT (3,098 tok) and tools.py search_products_tool (932 tok schema). Token counts via tiktoken (gpt-4 cl100k_base encoder, ±5% vs Anthropic native).</t>
        </is>
      </c>
    </row>
    <row r="57" ht="20" customHeight="1">
      <c r="A57" s="29" t="inlineStr">
        <is>
          <t>Math Model Summary</t>
        </is>
      </c>
    </row>
    <row r="58" ht="56" customHeight="1">
      <c r="A58" s="30" t="inlineStr">
        <is>
          <t>Per Turn-1-only search (always)</t>
        </is>
      </c>
      <c r="B58" s="31" t="inlineStr">
        <is>
          <t>T1 LLM = first_call_cache + subsequent_cache + dyn_input + output. first_call_cache = (write_fraction × write_rate + (1−write_fraction) × read_rate) × cached_prefix / 1M  ← cache sharing applied here. subsequent_cache = (T1_calls − 1) × read_rate × cached_prefix / 1M. dyn_input = T1_dyn_per_call × T1_calls × input_rate / 1M. output = T1_output × output_rate / 1M. T1 guardrail = ((T1_calls × T1_input_per_call + T1_output) × 4 chars/token / 1,000 chars/TU) × guardrail_rate / 1,000.</t>
        </is>
      </c>
    </row>
    <row r="59" ht="56" customHeight="1">
      <c r="A59" s="30" t="inlineStr">
        <is>
          <t>Per engaged search (T2+T3 additional)</t>
        </is>
      </c>
      <c r="B59" s="31" t="inlineStr">
        <is>
          <t>T2+T3 LLM = cache_reads + dyn_input + output. cache_reads = T2+T3_calls × read_rate × cached_prefix / 1M  ← all reads (cache warm from T1). dyn_input = T2+T3_dyn_per_call × T2+T3_calls × input_rate / 1M. output = T2+T3_output × output_rate / 1M. T2+T3 guardrail = ((T2+T3_calls × T2+T3_input_per_call + T2+T3_output) × 4 / 1,000) × rate / 1,000.</t>
        </is>
      </c>
    </row>
    <row r="60" ht="56" customHeight="1">
      <c r="A60" s="30" t="inlineStr">
        <is>
          <t>Composed per-search cost</t>
        </is>
      </c>
      <c r="B60" s="31" t="inlineStr">
        <is>
          <t>composed = T1_cost + (engagement_rate / 100) × T2+T3_cost. Both T1 and T2+T3 components reflect their respective LLM + guardrail subtotals.</t>
        </is>
      </c>
    </row>
    <row r="61" ht="56" customHeight="1">
      <c r="A61" s="30" t="inlineStr">
        <is>
          <t>Monthly</t>
        </is>
      </c>
      <c r="B61" s="31" t="inlineStr">
        <is>
          <t>monthly_cost = monthly_searches × composed_per_search_cost. Equivalent decomposition: monthly = T1_cost × searches + T2+T3_cost × searches × (engagement_rate / 100).</t>
        </is>
      </c>
    </row>
    <row r="62" ht="56" customHeight="1">
      <c r="A62" s="30" t="inlineStr">
        <is>
          <t>Cache sharing math</t>
        </is>
      </c>
      <c r="B62" s="31" t="inlineStr">
        <is>
          <t>effective_write_fraction = MIN(monthly_searches, 5-min_windows_per_month) / monthly_searches. Uniform-distribution model: assumes searches spread evenly across the 8,640 windows per month. Subsequent T1 calls (within the same search) and all T2+T3 calls are cache reads — cache stays warm during a single conversation.</t>
        </is>
      </c>
    </row>
  </sheetData>
  <mergeCells count="9">
    <mergeCell ref="A30:B30"/>
    <mergeCell ref="A50:B50"/>
    <mergeCell ref="A57:B57"/>
    <mergeCell ref="A23:B23"/>
    <mergeCell ref="A42:B42"/>
    <mergeCell ref="A1:B1"/>
    <mergeCell ref="A17:B17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2026-05-14T18:14:26Z</dcterms:created>
  <dcterms:modified xmlns:dcterms="http://purl.org/dc/terms/" xmlns:xsi="http://www.w3.org/2001/XMLSchema-instance" xsi:type="dcterms:W3CDTF">2026-05-14T18:14:26Z</dcterms:modified>
</cp:coreProperties>
</file>