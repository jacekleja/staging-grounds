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culator" sheetId="1" state="visible" r:id="rId1"/>
    <sheet xmlns:r="http://schemas.openxmlformats.org/officeDocument/2006/relationships" name="Not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0000"/>
    <numFmt numFmtId="165" formatCode="0.0%"/>
    <numFmt numFmtId="166" formatCode="&quot;$&quot;#,##0.00"/>
  </numFmts>
  <fonts count="8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sz val="10"/>
    </font>
    <font>
      <i val="1"/>
      <color rgb="00555555"/>
      <sz val="9"/>
    </font>
    <font>
      <b val="1"/>
      <sz val="10"/>
    </font>
    <font>
      <b val="1"/>
      <sz val="12"/>
    </font>
    <font>
      <b val="1"/>
      <sz val="13"/>
    </font>
  </fonts>
  <fills count="8">
    <fill>
      <patternFill/>
    </fill>
    <fill>
      <patternFill patternType="gray125"/>
    </fill>
    <fill>
      <patternFill patternType="solid">
        <fgColor rgb="00DDEEFF"/>
      </patternFill>
    </fill>
    <fill>
      <patternFill patternType="solid">
        <fgColor rgb="00FFFF99"/>
      </patternFill>
    </fill>
    <fill>
      <patternFill patternType="solid">
        <fgColor rgb="00D9D9D9"/>
      </patternFill>
    </fill>
    <fill>
      <patternFill patternType="solid">
        <fgColor rgb="00FFE0B2"/>
      </patternFill>
    </fill>
    <fill>
      <patternFill patternType="solid">
        <fgColor rgb="00FFFFFF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0" fontId="2" fillId="4" borderId="0" applyAlignment="1" pivotButton="0" quotePrefix="0" xfId="0">
      <alignment horizontal="left" vertical="center"/>
    </xf>
    <xf numFmtId="0" fontId="3" fillId="4" borderId="0" pivotButton="0" quotePrefix="0" xfId="0"/>
    <xf numFmtId="0" fontId="2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center"/>
    </xf>
    <xf numFmtId="3" fontId="3" fillId="6" borderId="0" pivotButton="0" quotePrefix="0" xfId="0"/>
    <xf numFmtId="164" fontId="3" fillId="6" borderId="0" pivotButton="0" quotePrefix="0" xfId="0"/>
    <xf numFmtId="165" fontId="3" fillId="0" borderId="0" applyAlignment="1" pivotButton="0" quotePrefix="0" xfId="0">
      <alignment horizontal="right"/>
    </xf>
    <xf numFmtId="0" fontId="3" fillId="6" borderId="0" pivotButton="0" quotePrefix="0" xfId="0"/>
    <xf numFmtId="0" fontId="5" fillId="0" borderId="0" pivotButton="0" quotePrefix="0" xfId="0"/>
    <xf numFmtId="164" fontId="5" fillId="7" borderId="0" pivotButton="0" quotePrefix="0" xfId="0"/>
    <xf numFmtId="165" fontId="5" fillId="7" borderId="0" applyAlignment="1" pivotButton="0" quotePrefix="0" xfId="0">
      <alignment horizontal="right"/>
    </xf>
    <xf numFmtId="0" fontId="2" fillId="2" borderId="0" applyAlignment="1" pivotButton="0" quotePrefix="0" xfId="0">
      <alignment horizontal="left" vertical="center"/>
    </xf>
    <xf numFmtId="0" fontId="2" fillId="0" borderId="0" pivotButton="0" quotePrefix="0" xfId="0"/>
    <xf numFmtId="166" fontId="6" fillId="7" borderId="0" pivotButton="0" quotePrefix="0" xfId="0"/>
    <xf numFmtId="0" fontId="5" fillId="4" borderId="0" pivotButton="0" quotePrefix="0" xfId="0"/>
    <xf numFmtId="0" fontId="5" fillId="4" borderId="0" applyAlignment="1" pivotButton="0" quotePrefix="0" xfId="0">
      <alignment horizontal="center"/>
    </xf>
    <xf numFmtId="3" fontId="5" fillId="4" borderId="0" pivotButton="0" quotePrefix="0" xfId="0"/>
    <xf numFmtId="166" fontId="0" fillId="0" borderId="0" applyAlignment="1" pivotButton="0" quotePrefix="0" xfId="0">
      <alignment horizontal="right"/>
    </xf>
    <xf numFmtId="0" fontId="7" fillId="2" borderId="0" pivotButton="0" quotePrefix="0" xfId="0"/>
    <xf numFmtId="0" fontId="2" fillId="4" borderId="0" pivotButton="0" quotePrefix="0" xfId="0"/>
    <xf numFmtId="0" fontId="5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24" customHeight="1">
      <c r="A1" s="1" t="inlineStr">
        <is>
          <t>Conversational Search — Monthly Cost Calculator</t>
        </is>
      </c>
    </row>
    <row r="3" ht="20" customHeight="1">
      <c r="A3" s="2" t="inlineStr">
        <is>
          <t>INPUTS  (change the yellow cells)</t>
        </is>
      </c>
    </row>
    <row r="4" ht="18" customHeight="1">
      <c r="A4" s="3" t="inlineStr">
        <is>
          <t>Monthly site visitors</t>
        </is>
      </c>
      <c r="B4" s="4" t="n">
        <v>100000</v>
      </c>
      <c r="C4" s="5" t="inlineStr">
        <is>
          <t>enter your expected monthly traffic</t>
        </is>
      </c>
    </row>
    <row r="5" ht="18" customHeight="1">
      <c r="A5" s="3" t="inlineStr">
        <is>
          <t>Engagement rate (CTR, %)</t>
        </is>
      </c>
      <c r="B5" s="4" t="n">
        <v>5</v>
      </c>
      <c r="C5" s="5" t="inlineStr">
        <is>
          <t>percent of visitors that interact with the agent</t>
        </is>
      </c>
    </row>
    <row r="6" ht="18" customHeight="1">
      <c r="A6" s="3" t="inlineStr">
        <is>
          <t>Avg input tokens per LLM call</t>
        </is>
      </c>
      <c r="B6" s="4" t="n">
        <v>7500</v>
      </c>
      <c r="C6" s="5" t="inlineStr">
        <is>
          <t>DEFAULT — cascade across 6 calls (T1/T2/T3 tool-decision + response); see Notes Defaults Provenance</t>
        </is>
      </c>
    </row>
    <row r="7" ht="18" customHeight="1">
      <c r="A7" s="3" t="inlineStr">
        <is>
          <t>Total output tokens per conversation</t>
        </is>
      </c>
      <c r="B7" s="4" t="n">
        <v>1159</v>
      </c>
      <c r="C7" s="5" t="inlineStr">
        <is>
          <t>DEFAULT — sum across turns: T1=105 + T2=527 + T3=527 (T3 extrapolated; from post-tightening benchmark sk-multi-run-postfix-20260511)</t>
        </is>
      </c>
    </row>
    <row r="8" ht="18" customHeight="1">
      <c r="A8" s="3" t="inlineStr">
        <is>
          <t>LLM calls per turn</t>
        </is>
      </c>
      <c r="B8" s="4" t="n">
        <v>2</v>
      </c>
      <c r="C8" s="5" t="inlineStr">
        <is>
          <t>DEFAULT — measured median; max=2 per max_tool_calls_per_turn config</t>
        </is>
      </c>
    </row>
    <row r="9" ht="18" customHeight="1">
      <c r="A9" s="3" t="inlineStr">
        <is>
          <t>Guardrails enabled</t>
        </is>
      </c>
      <c r="B9" s="4" t="inlineStr">
        <is>
          <t>Yes</t>
        </is>
      </c>
      <c r="C9" s="5" t="inlineStr">
        <is>
          <t>Yes / No</t>
        </is>
      </c>
    </row>
    <row r="10" ht="18" customHeight="1">
      <c r="A10" s="3" t="inlineStr">
        <is>
          <t>Guardrail policy mix</t>
        </is>
      </c>
      <c r="B10" s="4" t="inlineStr">
        <is>
          <t>Content only</t>
        </is>
      </c>
      <c r="C10" s="5" t="inlineStr">
        <is>
          <t>"Content only" | "Content + PII" | "Content + PII + Grounding"</t>
        </is>
      </c>
    </row>
    <row r="12" ht="20" customHeight="1">
      <c r="A12" s="6" t="inlineStr">
        <is>
          <t>LOCKED CONSTANTS  (do not change)</t>
        </is>
      </c>
    </row>
    <row r="13" ht="18" customHeight="1">
      <c r="A13" s="3" t="inlineStr">
        <is>
          <t>Conversation length (turns)</t>
        </is>
      </c>
      <c r="B13" s="7" t="n">
        <v>3</v>
      </c>
      <c r="C13" s="5" t="inlineStr">
        <is>
          <t>locked per spec — typical 3-turn search interaction</t>
        </is>
      </c>
    </row>
    <row r="14" ht="18" customHeight="1">
      <c r="A14" s="3" t="inlineStr">
        <is>
          <t>Sonnet 4.6 input price ($/M tokens)</t>
        </is>
      </c>
      <c r="B14" s="7" t="n">
        <v>3</v>
      </c>
      <c r="C14" s="5" t="inlineStr">
        <is>
          <t>standard input, AWS Bedrock 2026-05-14</t>
        </is>
      </c>
    </row>
    <row r="15" ht="18" customHeight="1">
      <c r="A15" s="3" t="inlineStr">
        <is>
          <t>Sonnet 4.6 output price ($/M tokens)</t>
        </is>
      </c>
      <c r="B15" s="7" t="n">
        <v>15</v>
      </c>
      <c r="C15" s="5" t="inlineStr">
        <is>
          <t>standard output, AWS Bedrock 2026-05-14</t>
        </is>
      </c>
    </row>
    <row r="16" ht="18" customHeight="1">
      <c r="A16" s="3" t="inlineStr">
        <is>
          <t>5m cache write price ($/M tokens)</t>
        </is>
      </c>
      <c r="B16" s="7" t="n">
        <v>3.75</v>
      </c>
      <c r="C16" s="5" t="inlineStr">
        <is>
          <t>1.25x input — Anthropic prompt caching</t>
        </is>
      </c>
    </row>
    <row r="17" ht="18" customHeight="1">
      <c r="A17" s="3" t="inlineStr">
        <is>
          <t>5m cache read price ($/M tokens)</t>
        </is>
      </c>
      <c r="B17" s="7" t="n">
        <v>0.3</v>
      </c>
      <c r="C17" s="5" t="inlineStr">
        <is>
          <t>0.10x input — Anthropic prompt caching</t>
        </is>
      </c>
    </row>
    <row r="18" ht="18" customHeight="1">
      <c r="A18" s="3" t="inlineStr">
        <is>
          <t>Cached prefix tokens</t>
        </is>
      </c>
      <c r="B18" s="7" t="n">
        <v>4030</v>
      </c>
      <c r="C18" s="5" t="inlineStr">
        <is>
          <t>system prompt (3,098 measured via tiktoken on prompts.py code) + search_products_tool schema (932 via convert_to_openai_tool); production Langfuse-hosted prompt may differ</t>
        </is>
      </c>
    </row>
    <row r="19" ht="18" customHeight="1">
      <c r="A19" s="3" t="inlineStr">
        <is>
          <t>Chars per token (approx)</t>
        </is>
      </c>
      <c r="B19" s="7" t="n">
        <v>4</v>
      </c>
      <c r="C19" s="5" t="inlineStr">
        <is>
          <t>rough English heuristic for guardrail text-unit math</t>
        </is>
      </c>
    </row>
    <row r="20" ht="18" customHeight="1">
      <c r="A20" s="3" t="inlineStr">
        <is>
          <t>Guardrail rate — Content only ($/1K)</t>
        </is>
      </c>
      <c r="B20" s="7" t="n">
        <v>0.75</v>
      </c>
      <c r="C20" s="5" t="inlineStr">
        <is>
          <t>content filters / denied topics / word filters</t>
        </is>
      </c>
    </row>
    <row r="21" ht="18" customHeight="1">
      <c r="A21" s="3" t="inlineStr">
        <is>
          <t>Guardrail rate — Content+PII ($/1K)</t>
        </is>
      </c>
      <c r="B21" s="7" t="n">
        <v>0.85</v>
      </c>
      <c r="C21" s="5" t="inlineStr">
        <is>
          <t>adds $0.10/1K for PII policy</t>
        </is>
      </c>
    </row>
    <row r="22" ht="18" customHeight="1">
      <c r="A22" s="3" t="inlineStr">
        <is>
          <t>Guardrail rate — Content+PII+Gnd ($/1K)</t>
        </is>
      </c>
      <c r="B22" s="7" t="n">
        <v>0.95</v>
      </c>
      <c r="C22" s="5" t="inlineStr">
        <is>
          <t>adds $0.10/1K for contextual grounding</t>
        </is>
      </c>
    </row>
    <row r="24" ht="20" customHeight="1">
      <c r="A24" s="8" t="inlineStr">
        <is>
          <t>DERIVED — PER CONVERSATION</t>
        </is>
      </c>
      <c r="D24" s="9" t="inlineStr">
        <is>
          <t>% of total</t>
        </is>
      </c>
    </row>
    <row r="25" ht="18" customHeight="1">
      <c r="A25" s="3" t="inlineStr">
        <is>
          <t>Total LLM calls per conversation</t>
        </is>
      </c>
      <c r="B25" s="10">
        <f>B13*B8</f>
        <v/>
      </c>
      <c r="C25" s="5" t="inlineStr">
        <is>
          <t>turns x calls/turn</t>
        </is>
      </c>
    </row>
    <row r="26" ht="18" customHeight="1">
      <c r="A26" s="3" t="inlineStr">
        <is>
          <t>Total output tokens per conversation</t>
        </is>
      </c>
      <c r="B26" s="10">
        <f>B7</f>
        <v/>
      </c>
      <c r="C26" s="5" t="inlineStr">
        <is>
          <t>from B7 input (sum across turns)</t>
        </is>
      </c>
    </row>
    <row r="27" ht="18" customHeight="1">
      <c r="A27" s="3" t="inlineStr">
        <is>
          <t>Dynamic input tokens per call</t>
        </is>
      </c>
      <c r="B27" s="10">
        <f>B6-B18</f>
        <v/>
      </c>
      <c r="C27" s="5" t="inlineStr">
        <is>
          <t>input per call minus cached prefix</t>
        </is>
      </c>
    </row>
    <row r="28" ht="18" customHeight="1">
      <c r="A28" s="3" t="inlineStr">
        <is>
          <t>Cache write cost — 1st call ($)</t>
        </is>
      </c>
      <c r="B28" s="11">
        <f>B18*B16/1000000</f>
        <v/>
      </c>
      <c r="C28" s="5" t="inlineStr">
        <is>
          <t>cached prefix written once per conversation</t>
        </is>
      </c>
    </row>
    <row r="29" ht="18" customHeight="1">
      <c r="A29" s="3" t="inlineStr">
        <is>
          <t>Cache read cost — remaining calls ($)</t>
        </is>
      </c>
      <c r="B29" s="11">
        <f>B18*B17/1000000*(B25-1)</f>
        <v/>
      </c>
      <c r="C29" s="5" t="inlineStr">
        <is>
          <t>cached prefix re-read on calls 2..N</t>
        </is>
      </c>
    </row>
    <row r="30" ht="18" customHeight="1">
      <c r="A30" s="3" t="inlineStr">
        <is>
          <t>Dynamic input cost ($)</t>
        </is>
      </c>
      <c r="B30" s="11">
        <f>B27*B25*B14/1000000</f>
        <v/>
      </c>
      <c r="C30" s="5" t="inlineStr">
        <is>
          <t>non-cached tokens x all calls x input price</t>
        </is>
      </c>
    </row>
    <row r="31" ht="18" customHeight="1">
      <c r="A31" s="3" t="inlineStr">
        <is>
          <t>Output cost ($)</t>
        </is>
      </c>
      <c r="B31" s="11">
        <f>B26*B15/1000000</f>
        <v/>
      </c>
      <c r="C31" s="5" t="inlineStr">
        <is>
          <t>total output tokens x output price</t>
        </is>
      </c>
    </row>
    <row r="32" ht="18" customHeight="1">
      <c r="A32" s="3" t="inlineStr">
        <is>
          <t>LLM cost per conversation ($)</t>
        </is>
      </c>
      <c r="B32" s="11">
        <f>SUM(B28:B31)</f>
        <v/>
      </c>
      <c r="C32" s="5" t="inlineStr">
        <is>
          <t>cache write + cache reads + dynamic input + output</t>
        </is>
      </c>
      <c r="D32" s="12">
        <f>B32/B36</f>
        <v/>
      </c>
    </row>
    <row r="33" ht="18" customHeight="1">
      <c r="A33" s="3" t="inlineStr">
        <is>
          <t>Active guardrail rate ($/1K text units)</t>
        </is>
      </c>
      <c r="B33" s="13">
        <f>IF(B9="Yes",IF(B10="Content only",B20,IF(B10="Content + PII",B21,B22)),0)</f>
        <v/>
      </c>
      <c r="C33" s="5" t="inlineStr">
        <is>
          <t>0 if guardrails disabled; else from policy mix selection</t>
        </is>
      </c>
    </row>
    <row r="34" ht="18" customHeight="1">
      <c r="A34" s="3" t="inlineStr">
        <is>
          <t>Guardrail text units per conversation</t>
        </is>
      </c>
      <c r="B34" s="13">
        <f>(B25*B6*B19+B26*B19)/1000</f>
        <v/>
      </c>
      <c r="C34" s="5" t="inlineStr">
        <is>
          <t>(input chars + output chars) / 1000 — see Notes for heuristic</t>
        </is>
      </c>
    </row>
    <row r="35" ht="18" customHeight="1">
      <c r="A35" s="3" t="inlineStr">
        <is>
          <t>Guardrail cost per conversation ($)</t>
        </is>
      </c>
      <c r="B35" s="11">
        <f>B34*B33/1000</f>
        <v/>
      </c>
      <c r="C35" s="5" t="inlineStr">
        <is>
          <t>text_units x rate / 1000 (B33 is $/1K text units); 0 if guardrails disabled</t>
        </is>
      </c>
      <c r="D35" s="12">
        <f>B35/B36</f>
        <v/>
      </c>
    </row>
    <row r="36" ht="18" customHeight="1">
      <c r="A36" s="14" t="inlineStr">
        <is>
          <t>TOTAL cost per conversation ($)</t>
        </is>
      </c>
      <c r="B36" s="15">
        <f>B32+B35</f>
        <v/>
      </c>
      <c r="C36" s="5" t="inlineStr">
        <is>
          <t>LLM cost + guardrail cost</t>
        </is>
      </c>
      <c r="D36" s="16">
        <f>B36/B36</f>
        <v/>
      </c>
    </row>
    <row r="38" ht="20" customHeight="1">
      <c r="A38" s="17" t="inlineStr">
        <is>
          <t>MONTHLY TOTALS</t>
        </is>
      </c>
    </row>
    <row r="39" ht="18" customHeight="1">
      <c r="A39" s="3" t="inlineStr">
        <is>
          <t>Conversations per month</t>
        </is>
      </c>
      <c r="B39" s="10">
        <f>B4*B5/100</f>
        <v/>
      </c>
      <c r="C39" s="5" t="inlineStr">
        <is>
          <t>visitors x CTR% / 100</t>
        </is>
      </c>
    </row>
    <row r="40" ht="22" customHeight="1">
      <c r="A40" s="18" t="inlineStr">
        <is>
          <t>TOTAL MONTHLY COST ($)</t>
        </is>
      </c>
      <c r="B40" s="19">
        <f>B39*B36</f>
        <v/>
      </c>
      <c r="C40" s="5" t="inlineStr">
        <is>
          <t>conversations x cost per conversation</t>
        </is>
      </c>
    </row>
    <row r="42" ht="20" customHeight="1">
      <c r="A42" s="17" t="inlineStr">
        <is>
          <t>SENSITIVITY TABLE — Monthly Cost by Visitors x CTR</t>
        </is>
      </c>
    </row>
    <row r="43">
      <c r="A43" s="20" t="inlineStr">
        <is>
          <t>Visitors \ CTR</t>
        </is>
      </c>
      <c r="B43" s="21" t="inlineStr">
        <is>
          <t>1% CTR</t>
        </is>
      </c>
      <c r="C43" s="21" t="inlineStr">
        <is>
          <t>5% CTR</t>
        </is>
      </c>
      <c r="D43" s="21" t="inlineStr">
        <is>
          <t>10% CTR</t>
        </is>
      </c>
      <c r="E43" s="21" t="inlineStr">
        <is>
          <t>15% CTR</t>
        </is>
      </c>
    </row>
    <row r="44" ht="18" customHeight="1">
      <c r="A44" s="22" t="n">
        <v>10000</v>
      </c>
      <c r="B44" s="23">
        <f>10000*1/100*$B$36</f>
        <v/>
      </c>
      <c r="C44" s="23">
        <f>10000*5/100*$B$36</f>
        <v/>
      </c>
      <c r="D44" s="23">
        <f>10000*10/100*$B$36</f>
        <v/>
      </c>
      <c r="E44" s="23">
        <f>10000*15/100*$B$36</f>
        <v/>
      </c>
    </row>
    <row r="45" ht="18" customHeight="1">
      <c r="A45" s="22" t="n">
        <v>100000</v>
      </c>
      <c r="B45" s="23">
        <f>100000*1/100*$B$36</f>
        <v/>
      </c>
      <c r="C45" s="23">
        <f>100000*5/100*$B$36</f>
        <v/>
      </c>
      <c r="D45" s="23">
        <f>100000*10/100*$B$36</f>
        <v/>
      </c>
      <c r="E45" s="23">
        <f>100000*15/100*$B$36</f>
        <v/>
      </c>
    </row>
    <row r="46" ht="18" customHeight="1">
      <c r="A46" s="22" t="n">
        <v>500000</v>
      </c>
      <c r="B46" s="23">
        <f>500000*1/100*$B$36</f>
        <v/>
      </c>
      <c r="C46" s="23">
        <f>500000*5/100*$B$36</f>
        <v/>
      </c>
      <c r="D46" s="23">
        <f>500000*10/100*$B$36</f>
        <v/>
      </c>
      <c r="E46" s="23">
        <f>500000*15/100*$B$36</f>
        <v/>
      </c>
    </row>
    <row r="47" ht="18" customHeight="1">
      <c r="A47" s="22" t="n">
        <v>1000000</v>
      </c>
      <c r="B47" s="23">
        <f>1000000*1/100*$B$36</f>
        <v/>
      </c>
      <c r="C47" s="23">
        <f>1000000*5/100*$B$36</f>
        <v/>
      </c>
      <c r="D47" s="23">
        <f>1000000*10/100*$B$36</f>
        <v/>
      </c>
      <c r="E47" s="23">
        <f>1000000*15/100*$B$36</f>
        <v/>
      </c>
    </row>
  </sheetData>
  <mergeCells count="6">
    <mergeCell ref="A1:D1"/>
    <mergeCell ref="A42:C42"/>
    <mergeCell ref="A24:C24"/>
    <mergeCell ref="A3:C3"/>
    <mergeCell ref="A12:C12"/>
    <mergeCell ref="A38:C38"/>
  </mergeCells>
  <dataValidations count="2">
    <dataValidation sqref="B9" showDropDown="0" showInputMessage="0" showErrorMessage="0" allowBlank="0" type="list">
      <formula1>"Yes,No"</formula1>
    </dataValidation>
    <dataValidation sqref="B10" showDropDown="0" showInputMessage="0" showErrorMessage="0" allowBlank="0" type="list">
      <formula1>"Content only,Content + PII,Content + PII + Grounding"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 ht="22" customHeight="1">
      <c r="A1" s="24" t="inlineStr">
        <is>
          <t>Notes — Methodology, Assumptions, Open Questions, Sources</t>
        </is>
      </c>
    </row>
    <row r="3" ht="20" customHeight="1">
      <c r="A3" s="25" t="inlineStr">
        <is>
          <t>How to Use</t>
        </is>
      </c>
    </row>
    <row r="4" ht="48" customHeight="1">
      <c r="A4" s="26" t="inlineStr">
        <is>
          <t>Step 1</t>
        </is>
      </c>
      <c r="B4" s="27" t="inlineStr">
        <is>
          <t>Open the Calculator sheet.</t>
        </is>
      </c>
    </row>
    <row r="5" ht="48" customHeight="1">
      <c r="A5" s="26" t="inlineStr">
        <is>
          <t>Step 2</t>
        </is>
      </c>
      <c r="B5" s="27" t="inlineStr">
        <is>
          <t>Change any yellow cell in the INPUTS section to match your site.</t>
        </is>
      </c>
    </row>
    <row r="6" ht="48" customHeight="1">
      <c r="A6" s="26" t="inlineStr">
        <is>
          <t>Step 3</t>
        </is>
      </c>
      <c r="B6" s="27" t="inlineStr">
        <is>
          <t>Read the green TOTAL MONTHLY COST cell for your estimate.</t>
        </is>
      </c>
    </row>
    <row r="7" ht="48" customHeight="1">
      <c r="A7" s="26" t="inlineStr">
        <is>
          <t>Step 4</t>
        </is>
      </c>
      <c r="B7" s="27" t="inlineStr">
        <is>
          <t>Use the Sensitivity Table to see how cost scales across traffic / engagement scenarios.</t>
        </is>
      </c>
    </row>
    <row r="8" ht="48" customHeight="1">
      <c r="A8" s="26" t="inlineStr">
        <is>
          <t>Step 5</t>
        </is>
      </c>
      <c r="B8" s="27" t="inlineStr">
        <is>
          <t>If you know your guardrail policy mix from the AWS Console, update the 'Guardrail policy mix' dropdown.</t>
        </is>
      </c>
    </row>
    <row r="10" ht="20" customHeight="1">
      <c r="A10" s="25" t="inlineStr">
        <is>
          <t>Locked Assumptions</t>
        </is>
      </c>
    </row>
    <row r="11" ht="48" customHeight="1">
      <c r="A11" s="26" t="inlineStr">
        <is>
          <t>3-turn conversations</t>
        </is>
      </c>
      <c r="B11" s="27" t="inlineStr">
        <is>
          <t>Each customer interaction = 3 turns. Locked because the production code uses a fixed multi-turn LangGraph graph.</t>
        </is>
      </c>
    </row>
    <row r="12" ht="48" customHeight="1">
      <c r="A12" s="26" t="inlineStr">
        <is>
          <t>Sonnet 4.6 on Bedrock</t>
        </is>
      </c>
      <c r="B12" s="27" t="inlineStr">
        <is>
          <t>Model is claude-sonnet-4-6 on AWS Bedrock in the same region as the workload (no cross-region surcharge applied).</t>
        </is>
      </c>
    </row>
    <row r="13" ht="48" customHeight="1">
      <c r="A13" s="26" t="inlineStr">
        <is>
          <t>5-minute prompt cache enabled</t>
        </is>
      </c>
      <c r="B13" s="27" t="inlineStr">
        <is>
          <t>Anthropic/Bedrock 5m TTL cache is enabled in production. Cache write cost applies once per conversation; cache read on turns 2+. Assumes conversation completes within the 5-minute TTL.</t>
        </is>
      </c>
    </row>
    <row r="14" ht="48" customHeight="1">
      <c r="A14" s="26" t="inlineStr">
        <is>
          <t>Guardrail billed on input+output</t>
        </is>
      </c>
      <c r="B14" s="27" t="inlineStr">
        <is>
          <t>AWS Bedrock Guardrails bill on both the full input payload AND the model output of each assessed call.</t>
        </is>
      </c>
    </row>
    <row r="15" ht="48" customHeight="1">
      <c r="A15" s="26" t="inlineStr">
        <is>
          <t>Text unit = 1,000 chars</t>
        </is>
      </c>
      <c r="B15" s="27" t="inlineStr">
        <is>
          <t>AWS definition: 1 text unit = up to 1,000 characters. The calculator uses chars/token ~= 4 (English approximation — see Defaults Provenance).</t>
        </is>
      </c>
    </row>
    <row r="17" ht="20" customHeight="1">
      <c r="A17" s="25" t="inlineStr">
        <is>
          <t>Defaults Provenance</t>
        </is>
      </c>
    </row>
    <row r="18" ht="48" customHeight="1">
      <c r="A18" s="26" t="inlineStr">
        <is>
          <t>7,500 tokens/call default</t>
        </is>
      </c>
      <c r="B18" s="27" t="inlineStr">
        <is>
          <t>Updated 2026-05-14 from cascade-based recompute. Method (per user-suggested approach): compute Turn 1 input from primary sources (system prompt + tool schemas + user message), then accumulate Turn 1 output and tool result into Turn 2 input, and so on. Primary-source measurements (via tiktoken, gpt-4 encoder ≈ Anthropic encoder ±5%): SYSTEM_PROMPT = 3,098 tok (code fallback in prompts.py; production Langfuse-hosted prompt may differ), search_products_tool schema = 932 tok, user message ≈ 30 tok, tool_result ≈ 2,000 tok (range 1,500-3,000 per `size` param). Cascade across 6 LLM calls (T1/T2/T3 × {tool-decision, response-after-tool}): T1a=4,060 → T1b=6,160 → T2a=6,295 → T2b=8,425 → T3a=8,982 → T3b=11,082. Avg ≈ 7,500. Previous default (6,000) used a research-time estimate that assumed system prompt ~3,300 tok (3,098 measured) and ~2,000 dynamic content per call (the actual cascade grows to ~7,000 by Turn 3). Range: 4,000-11,000 tokens/call within a single conversation.</t>
        </is>
      </c>
    </row>
    <row r="19" ht="48" customHeight="1">
      <c r="A19" s="26" t="inlineStr">
        <is>
          <t>1,159 output tokens / conversation (default)</t>
        </is>
      </c>
      <c r="B19" s="27" t="inlineStr">
        <is>
          <t>B7 is the SUM of output tokens across all turns of a conversation — not an average per turn. Default decomposition: Turn-1 = 105 tokens + Turn-2 = 527 tokens + Turn-3 = 527 tokens (extrapolated). Source: per-turn-capture from benchmark run sk-multi-run-postfix-20260511 (POST commit f691832 prompt-tightening), n=96 Turn-0 / n=79 Turn-1 user-facing responses, tiktoken-counted. Caveat: per_turn_capture.jsonl records only the user-facing text response, not internal LLM-call outputs (tool-call generation, verifier outputs). Bedrock's billed output tokens (visible in the `usage` field of the API response) include all model-generated tokens including tool-call JSON; for that reason this 1,159 may UNDERSTATE true billed output by ~10-20%. The pre-tightening latency.md baseline was T1=129 / T2=1,450 (Apr 13 2026 measurement); the commit f691832 prompt-tightening (Apr 14) cut Turn-2 by ~64% — a deeper reduction than the originally projected ~31%. If most production conversations end at Turn 2, set B7 = 632 (T1+T2 only).</t>
        </is>
      </c>
    </row>
    <row r="20" ht="48" customHeight="1">
      <c r="A20" s="26" t="inlineStr">
        <is>
          <t>2 LLM calls/turn default</t>
        </is>
      </c>
      <c r="B20" s="27" t="inlineStr">
        <is>
          <t>MEASURED median. Each turn = 1 tool-decision call + 1 final-response call after the tool result returns. (The search_products invocation itself is a Luigi's Box Search API call, NOT a Bedrock LLM call — so it doesn't count.) Production caps at max_tool_calls_per_turn=2 (config.py default), so a turn cannot produce more than 2 main LLM calls plus 1 verifier call. Updated 2026-05-14 from the previous default of 3 (which was a conservative buffer); the cascade input model now uses 2 calls × 3 turns = 6 total calls. If you want a higher buffer for tool-loop iterations or verifier-rerun scenarios, set B8=3 (~+30% input cost). Verifier LLM call (verify_search_intent) is a separate, smaller-prompt call not currently modeled — its share is small (~5-10% of main-call cost).</t>
        </is>
      </c>
    </row>
    <row r="21" ht="48" customHeight="1">
      <c r="A21" s="26" t="inlineStr">
        <is>
          <t>4,030 cached prefix tokens</t>
        </is>
      </c>
      <c r="B21" s="27" t="inlineStr">
        <is>
          <t>MEASURED via tiktoken (gpt-4 encoder) against primary sources in conversational-search repo: SYSTEM_PROMPT (filled template, code fallback at conversational-search/src/conversational_search/agent/prompts.py) = 3,098 tokens + search_products_tool schema (LangChain convert_to_openai_tool format) = 932 tokens. Production may differ: settings.langfuse_prompt_name='base-system-prompt' label='production' fetches the runtime prompt from Langfuse, which can override the in-code SYSTEM_PROMPT entirely. A Langfuse fetch of the production prompt would let us sharpen this further. Tiktoken encoder is gpt-4 / cl100k_base, which is ±5% different from Anthropic's native tokenizer.</t>
        </is>
      </c>
    </row>
    <row r="22" ht="48" customHeight="1">
      <c r="A22" s="26" t="inlineStr">
        <is>
          <t>4 chars/token heuristic</t>
        </is>
      </c>
      <c r="B22" s="27" t="inlineStr">
        <is>
          <t>Widely used English-text approximation. Actual ratio varies by content type (code/JSON is lower). This affects guardrail text-unit math only, not LLM token costs.</t>
        </is>
      </c>
    </row>
    <row r="24" ht="20" customHeight="1">
      <c r="A24" s="25" t="inlineStr">
        <is>
          <t>Open Questions Blocking Precision</t>
        </is>
      </c>
    </row>
    <row r="25" ht="48" customHeight="1">
      <c r="A25" s="26" t="inlineStr">
        <is>
          <t>1. Guardrail policy mix</t>
        </is>
      </c>
      <c r="B25" s="27" t="inlineStr">
        <is>
          <t>The production guardrail is lxv6kzi6cryg (version '1', guardrail_async=True). Its policy configuration (content filters only? + PII? + grounding?) is NOT stored in the codebase. Requires AWS Console lookup. Budget minimum = $0.75/1K text units (content only). Worst case = $0.95/1K (content + PII + grounding).</t>
        </is>
      </c>
    </row>
    <row r="26" ht="48" customHeight="1">
      <c r="A26" s="26" t="inlineStr">
        <is>
          <t>2. Actual system-prompt token count</t>
        </is>
      </c>
      <c r="B26" s="27" t="inlineStr">
        <is>
          <t>The production system prompt is hosted in Langfuse (label: production). Its exact token count is not measured in-repo. A Langfuse token count or direct measurement would sharpen the cached prefix estimate.</t>
        </is>
      </c>
    </row>
    <row r="27" ht="48" customHeight="1">
      <c r="A27" s="26" t="inlineStr">
        <is>
          <t>3. search_products result size</t>
        </is>
      </c>
      <c r="B27" s="27" t="inlineStr">
        <is>
          <t>The tool result JSON size dominates dynamic input tokens and varies by the 'size' parameter and the number of matched products. Production traffic sampling would give a tighter default.</t>
        </is>
      </c>
    </row>
    <row r="28" ht="48" customHeight="1">
      <c r="A28" s="26" t="inlineStr">
        <is>
          <t>4. Turn-3 output tokens (extrapolated, not measured)</t>
        </is>
      </c>
      <c r="B28" s="27" t="inlineStr">
        <is>
          <t>The Apr 13 2026 benchmark (sk-multi-run-postfix-20260511, n=26) measured only Turn 1 and Turn 2 output. Turn 3 is extrapolated to 1,450 tokens (= Turn 2's median) on the assumption it mirrors Turn 2's substantial response. If most production conversations actually end at Turn 2, the calculator overstates output cost by ~48% on the output line (though output is a small share of total — see % of total column on Calculator sheet). Resolution: production traffic sampling of conversation-completion-by-turn distribution, OR re-run benchmark with a Turn-3 scenario.</t>
        </is>
      </c>
    </row>
    <row r="29" ht="48" customHeight="1">
      <c r="A29" s="26" t="inlineStr">
        <is>
          <t>5. Post-prompt-tightening output measurement</t>
        </is>
      </c>
      <c r="B29" s="27" t="inlineStr">
        <is>
          <t>Commit f691832 (Apr 14 2026) applied prompt tightening projected to reduce output tokens ~31%. The 1,450 Turn-2 default is pre-tightening; post-tightening figures are not measured. If the tightening is in production, Turn-2 may now be closer to 1,000 tokens.</t>
        </is>
      </c>
    </row>
    <row r="31" ht="20" customHeight="1">
      <c r="A31" s="25" t="inlineStr">
        <is>
          <t>Sources + Fetch Dates</t>
        </is>
      </c>
    </row>
    <row r="32" ht="48" customHeight="1">
      <c r="A32" s="26" t="inlineStr">
        <is>
          <t>AWS Bedrock pricing</t>
        </is>
      </c>
      <c r="B32" s="27" t="inlineStr">
        <is>
          <t>https://aws.amazon.com/bedrock/pricing/ — 'Guardrails' section and 'Prompt caching' section for Claude models. Fetched 2026-05-14.</t>
        </is>
      </c>
    </row>
    <row r="33" ht="48" customHeight="1">
      <c r="A33" s="26" t="inlineStr">
        <is>
          <t>Anthropic prompt-caching docs</t>
        </is>
      </c>
      <c r="B33" s="27" t="inlineStr">
        <is>
          <t>https://docs.anthropic.com/en/docs/build-with-claude/prompt-caching — 'Pricing' section. Fetched 2026-05-14.</t>
        </is>
      </c>
    </row>
    <row r="34" ht="48" customHeight="1">
      <c r="A34" s="26" t="inlineStr">
        <is>
          <t>Internal benchmark data</t>
        </is>
      </c>
      <c r="B34" s="27" t="inlineStr">
        <is>
          <t>conversational-search/benchmarks/runs/sk-multi-run-postfix-20260511/ — Turn-2 median output = 1,450 tokens.</t>
        </is>
      </c>
    </row>
    <row r="36" ht="20" customHeight="1">
      <c r="A36" s="25" t="inlineStr">
        <is>
          <t>Math Model Summary</t>
        </is>
      </c>
    </row>
    <row r="37" ht="48" customHeight="1">
      <c r="A37" s="26" t="inlineStr">
        <is>
          <t>Inputs</t>
        </is>
      </c>
      <c r="B37" s="27" t="inlineStr">
        <is>
          <t>Turns = 3 (locked). N_calls_per_turn (default 3). total_calls = turns x N_calls_per_turn. input_tokens_per_call (default 6,000). total_output_tokens_per_conversation (default 3,029 — see breakdown in Defaults Provenance). cached_prefix = 3,500 tokens (locked).</t>
        </is>
      </c>
    </row>
    <row r="38" ht="48" customHeight="1">
      <c r="A38" s="26" t="inlineStr">
        <is>
          <t>Cache cost</t>
        </is>
      </c>
      <c r="B38" s="27" t="inlineStr">
        <is>
          <t>cache_write_cost = cached_prefix x $3.75/M (1st call only). cache_read_cost = cached_prefix x $0.30/M x (total_calls - 1). Assumes conversation completes within 5-minute cache TTL.</t>
        </is>
      </c>
    </row>
    <row r="39" ht="48" customHeight="1">
      <c r="A39" s="26" t="inlineStr">
        <is>
          <t>LLM token cost</t>
        </is>
      </c>
      <c r="B39" s="27" t="inlineStr">
        <is>
          <t>dynamic_input_per_call = input_tokens_per_call - cached_prefix. dynamic_input_cost = dynamic_input_per_call x total_calls x $3.00/M. output_cost = total_output_tokens_per_conversation x $15.00/M (NOT multiplied by turns or calls — B7 is the per-conversation sum). LLM cost = cache_write + cache_read + dynamic_input + output.</t>
        </is>
      </c>
    </row>
    <row r="40" ht="48" customHeight="1">
      <c r="A40" s="26" t="inlineStr">
        <is>
          <t>Guardrail cost</t>
        </is>
      </c>
      <c r="B40" s="27" t="inlineStr">
        <is>
          <t>total_input_chars = total_calls x input_tokens_per_call x 4. total_output_chars = total_output_tokens x 4. text_units = (input_chars + output_chars) / 1,000. guardrail_cost = text_units x active_rate / 1000  (rate is $/1K text units). Rates: $0.75/1K (content only), $0.85/1K (+PII), $0.95/1K (+PII+grounding). 0 if disabled.</t>
        </is>
      </c>
    </row>
    <row r="41" ht="48" customHeight="1">
      <c r="A41" s="26" t="inlineStr">
        <is>
          <t>Monthly</t>
        </is>
      </c>
      <c r="B41" s="27" t="inlineStr">
        <is>
          <t>conversations/month = site_visitors x CTR_percent / 100. monthly_cost = conversations/month x cost_per_conversation.</t>
        </is>
      </c>
    </row>
  </sheetData>
  <mergeCells count="7">
    <mergeCell ref="A24:B24"/>
    <mergeCell ref="A10:B10"/>
    <mergeCell ref="A36:B36"/>
    <mergeCell ref="A1:B1"/>
    <mergeCell ref="A17:B17"/>
    <mergeCell ref="A31:B31"/>
    <mergeCell ref="A3:B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2026-05-14T13:52:22Z</dcterms:created>
  <dcterms:modified xmlns:dcterms="http://purl.org/dc/terms/" xmlns:xsi="http://www.w3.org/2001/XMLSchema-instance" xsi:type="dcterms:W3CDTF">2026-05-14T13:52:22Z</dcterms:modified>
</cp:coreProperties>
</file>