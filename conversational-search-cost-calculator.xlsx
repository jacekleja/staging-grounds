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.00"/>
    <numFmt numFmtId="166" formatCode="$#,##0.000"/>
    <numFmt numFmtId="167" formatCode="$#,##0.000000"/>
    <numFmt numFmtId="168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</font>
    <font>
      <b val="1"/>
    </font>
    <font>
      <b val="1"/>
      <sz val="13"/>
    </font>
  </fonts>
  <fills count="10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DDEBF7"/>
      </patternFill>
    </fill>
    <fill>
      <patternFill patternType="solid">
        <fgColor rgb="0092D050"/>
      </patternFill>
    </fill>
    <fill>
      <patternFill patternType="solid">
        <fgColor rgb="00E2EFDA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3" borderId="0" pivotButton="0" quotePrefix="0" xfId="0"/>
    <xf numFmtId="164" fontId="0" fillId="3" borderId="0" pivotButton="0" quotePrefix="0" xfId="0"/>
    <xf numFmtId="1" fontId="0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3" fontId="0" fillId="4" borderId="0" pivotButton="0" quotePrefix="0" xfId="0"/>
    <xf numFmtId="1" fontId="0" fillId="4" borderId="0" pivotButton="0" quotePrefix="0" xfId="0"/>
    <xf numFmtId="166" fontId="0" fillId="5" borderId="0" pivotButton="0" quotePrefix="0" xfId="0"/>
    <xf numFmtId="1" fontId="0" fillId="5" borderId="0" pivotButton="0" quotePrefix="0" xfId="0"/>
    <xf numFmtId="167" fontId="0" fillId="5" borderId="0" pivotButton="0" quotePrefix="0" xfId="0"/>
    <xf numFmtId="168" fontId="0" fillId="5" borderId="0" pivotButton="0" quotePrefix="0" xfId="0"/>
    <xf numFmtId="0" fontId="4" fillId="0" borderId="0" pivotButton="0" quotePrefix="0" xfId="0"/>
    <xf numFmtId="167" fontId="4" fillId="5" borderId="0" pivotButton="0" quotePrefix="0" xfId="0"/>
    <xf numFmtId="9" fontId="0" fillId="0" borderId="0" pivotButton="0" quotePrefix="0" xfId="0"/>
    <xf numFmtId="167" fontId="4" fillId="6" borderId="0" pivotButton="0" quotePrefix="0" xfId="0"/>
    <xf numFmtId="165" fontId="0" fillId="5" borderId="0" pivotButton="0" quotePrefix="0" xfId="0"/>
    <xf numFmtId="165" fontId="4" fillId="7" borderId="0" pivotButton="0" quotePrefix="0" xfId="0"/>
    <xf numFmtId="0" fontId="4" fillId="8" borderId="0" pivotButton="0" quotePrefix="0" xfId="0"/>
    <xf numFmtId="3" fontId="0" fillId="0" borderId="0" pivotButton="0" quotePrefix="0" xfId="0"/>
    <xf numFmtId="165" fontId="0" fillId="8" borderId="0" pivotButton="0" quotePrefix="0" xfId="0"/>
    <xf numFmtId="0" fontId="4" fillId="9" borderId="0" pivotButton="0" quotePrefix="0" xfId="0"/>
    <xf numFmtId="0" fontId="5" fillId="0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Calc v2</author>
    <author>Calculator</author>
  </authors>
  <commentList>
    <comment ref="B4" authorId="0" shapeId="0">
      <text>
        <t>Total conversational-search sessions per month (every search triggers Turn 1).</t>
      </text>
    </comment>
    <comment ref="B5" authorId="0" shapeId="0">
      <text>
        <t>% of searches where the user continues past Turn 1 into Turns 2-3.</t>
      </text>
    </comment>
    <comment ref="B6" authorId="0" shapeId="0">
      <text>
        <t>T1 cascade avg: 90% x 1-call(4,060) + 10% x 2-call-avg(5,110)</t>
      </text>
    </comment>
    <comment ref="B7" authorId="0" shapeId="0">
      <text>
        <t>T2+T3 cascade avg across 4 calls (T2a=6,295 / T2b=8,425 / T3a=8,982 / T3b=11,082)</t>
      </text>
    </comment>
    <comment ref="B8" authorId="0" shapeId="0">
      <text>
        <t>tool-call output (~100) + brief response (~105) per benchmark</t>
      </text>
    </comment>
    <comment ref="B9" authorId="0" shapeId="0">
      <text>
        <t>T2 (627) + T3 (627) — each turn: tool-call (~100) + response (~527)</t>
      </text>
    </comment>
    <comment ref="B10" authorId="0" shapeId="0">
      <text>
        <t>most T1 = 1 call; ~10% take 2 (retries / long-form)</t>
      </text>
    </comment>
    <comment ref="B11" authorId="0" shapeId="0">
      <text>
        <t>T2: 2 calls (tool-decision + response) + T3: 2 calls</t>
      </text>
    </comment>
    <comment ref="B12" authorId="0" shapeId="0">
      <text>
        <t>Yes or No. When No, guardrail cost rows zero out.</t>
      </text>
    </comment>
    <comment ref="B13" authorId="0" shapeId="0">
      <text>
        <t>"Content only" | "Content + PII" | "Content + PII + Grounding"</t>
      </text>
    </comment>
    <comment ref="B15" authorId="0" shapeId="0">
      <text>
        <t>eager (default) = Turn 1 fires on every search (v1 behavior).
deferred = Turn 1 fires ONLY when user clicks through (see B16).
Classifier is SKIPPED in deferred mode.</t>
      </text>
    </comment>
    <comment ref="B16" authorId="0" shapeId="0">
      <text>
        <t>Only effective when firing_mode = deferred.
Presets: LOW=5%, MID=15% (default), HIGH=30%.
Fraction of searches where user actually clicks through and triggers T1.</t>
      </text>
    </comment>
    <comment ref="B17" authorId="1" shapeId="0">
      <text>
        <t>Our Postgres-backed Turn-1 short-circuit cache.
On HIT, the proxy skips the entire LangGraph dispatch.
Works for ANY baseline model (Sonnet AND GLM).
Default: Yes.
Toggle No to model cost without M7 cache.</t>
      </text>
    </comment>
    <comment ref="B18" authorId="1" shapeId="0">
      <text>
        <t>Fraction of Turn 1 calls that hit a warm M7 cache entry.
Presets: LOW=20%, MID=50% (default), HIGH=70%.
PLACEHOLDER — refine from production-traffic measurement.
Applies to ALL baseline models when M7 cache is enabled.</t>
      </text>
    </comment>
    <comment ref="B19" authorId="0" shapeId="0">
      <text>
        <t>Haiku 4.5 pre-classifier fires before Turn 1 in eager mode.
SKIPPED when firing_mode=deferred (no pre-filter needed).
Default: No (matches v1 behavior).</t>
      </text>
    </comment>
    <comment ref="B20" authorId="0" shapeId="0">
      <text>
        <t>Fraction of queries the classifier rejects (no T1 LLM call fired).
PLACEHOLDER — depends on query mix and classifier tuning.
Per-call classifier cost is a derived constant:
  Haiku 4.5 x (700 input + 10 output tokens) = ~$0.00075/call.</t>
      </text>
    </comment>
    <comment ref="B21" authorId="0" shapeId="0">
      <text>
        <t>Sonnet 4.6 = $3.00/$15.00 per 1M tokens in/out, Bedrock prompt caching supported.
GLM 4.7 = $0.60/$2.20 per 1M tokens in/out, NO Bedrock prompt caching.
GLM 4.7 Flash = $0.07/$0.40 per 1M tokens in/out, NO Bedrock prompt caching.
IMPORTANT: GLM region availability NOT modeled — verify procurement separately.</t>
      </text>
    </comment>
    <comment ref="B22" authorId="1" shapeId="0">
      <text>
        <t>Provider-side prefix cache. 1.25x write / 0.1x read on cached portion.
Sonnet 4.6 only — not available for GLM 4.7 or GLM 4.7 Flash.
This is AUTOMATIC — there is nothing to toggle.
Affects rows B55, B56 (cache write/read costs) and B67 (T2+T3 cache reads).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62" customWidth="1" min="3" max="3"/>
    <col width="14" customWidth="1" min="4" max="4"/>
  </cols>
  <sheetData>
    <row r="1">
      <c r="A1" s="1" t="inlineStr">
        <is>
          <t>Conversational Search — Monthly Cost Calculator v2</t>
        </is>
      </c>
    </row>
    <row r="3">
      <c r="A3" s="2" t="inlineStr">
        <is>
          <t>INPUTS  (change the yellow cells)</t>
        </is>
      </c>
    </row>
    <row r="4">
      <c r="A4" t="inlineStr">
        <is>
          <t>Monthly searches</t>
        </is>
      </c>
      <c r="B4" s="3" t="n">
        <v>100000</v>
      </c>
      <c r="C4" t="inlineStr">
        <is>
          <t>every search auto-engages Turn 1 (100%)</t>
        </is>
      </c>
    </row>
    <row r="5">
      <c r="A5" t="inlineStr">
        <is>
          <t>Turn 2+3 engagement rate (%)</t>
        </is>
      </c>
      <c r="B5" s="4" t="n">
        <v>5</v>
      </c>
      <c r="C5" t="inlineStr">
        <is>
          <t>% of searches where the user continues past Turn 1</t>
        </is>
      </c>
    </row>
    <row r="6">
      <c r="A6" t="inlineStr">
        <is>
          <t>Avg input tokens / LLM call — Turn 1</t>
        </is>
      </c>
      <c r="B6" s="3" t="n">
        <v>4251</v>
      </c>
      <c r="C6" t="inlineStr">
        <is>
          <t>T1 cascade avg: 90% x 1-call(4,060) + 10% x 2-call-avg(5,110)</t>
        </is>
      </c>
    </row>
    <row r="7">
      <c r="A7" t="inlineStr">
        <is>
          <t>Avg input tokens / LLM call — Turn 2+3</t>
        </is>
      </c>
      <c r="B7" s="3" t="n">
        <v>8544</v>
      </c>
      <c r="C7" t="inlineStr">
        <is>
          <t>T2+T3 cascade avg across 4 calls (T2a=6,295 / T2b=8,425 / T3a=8,982 / T3b=11,082)</t>
        </is>
      </c>
    </row>
    <row r="8">
      <c r="A8" t="inlineStr">
        <is>
          <t>T1 output tokens (always)</t>
        </is>
      </c>
      <c r="B8" s="3" t="n">
        <v>205</v>
      </c>
      <c r="C8" t="inlineStr">
        <is>
          <t>tool-call output (~100) + brief response (~105) per benchmark</t>
        </is>
      </c>
    </row>
    <row r="9">
      <c r="A9" t="inlineStr">
        <is>
          <t>T2+T3 output tokens (additional, when engaged)</t>
        </is>
      </c>
      <c r="B9" s="3" t="n">
        <v>1254</v>
      </c>
      <c r="C9" t="inlineStr">
        <is>
          <t>T2 (627) + T3 (627) — each turn: tool-call (~100) + response (~527)</t>
        </is>
      </c>
    </row>
    <row r="10">
      <c r="A10" t="inlineStr">
        <is>
          <t>LLM calls — T1 (avg)</t>
        </is>
      </c>
      <c r="B10" s="4" t="n">
        <v>1.1</v>
      </c>
      <c r="C10" t="inlineStr">
        <is>
          <t>most T1 = 1 call; ~10% take 2 (retries / long-form)</t>
        </is>
      </c>
    </row>
    <row r="11">
      <c r="A11" t="inlineStr">
        <is>
          <t>LLM calls — T2+T3 combined (when engaged)</t>
        </is>
      </c>
      <c r="B11" s="5" t="n">
        <v>4</v>
      </c>
      <c r="C11" t="inlineStr">
        <is>
          <t>T2: 2 calls (tool-decision + response) + T3: 2 calls</t>
        </is>
      </c>
    </row>
    <row r="12">
      <c r="A12" t="inlineStr">
        <is>
          <t>Guardrails enabled</t>
        </is>
      </c>
      <c r="B12" s="6" t="inlineStr">
        <is>
          <t>Yes</t>
        </is>
      </c>
      <c r="C12" t="inlineStr">
        <is>
          <t>"Yes" / "No"</t>
        </is>
      </c>
    </row>
    <row r="13">
      <c r="A13" t="inlineStr">
        <is>
          <t>Guardrail policy mix</t>
        </is>
      </c>
      <c r="B13" s="6" t="inlineStr">
        <is>
          <t>Content only</t>
        </is>
      </c>
      <c r="C13" t="inlineStr">
        <is>
          <t>"Content only" | "Content + PII" | "Content + PII + Grounding"</t>
        </is>
      </c>
    </row>
    <row r="14">
      <c r="A14" s="7" t="inlineStr">
        <is>
          <t>— v2 New Inputs —</t>
        </is>
      </c>
    </row>
    <row r="15">
      <c r="A15" t="inlineStr">
        <is>
          <t>Firing mode</t>
        </is>
      </c>
      <c r="B15" s="6" t="inlineStr">
        <is>
          <t>eager</t>
        </is>
      </c>
      <c r="C15" t="inlineStr">
        <is>
          <t>"eager" (default) | "deferred" — deferred fires T1 only on click-through</t>
        </is>
      </c>
    </row>
    <row r="16">
      <c r="A16" t="inlineStr">
        <is>
          <t>Deferred mode click-through (%)</t>
        </is>
      </c>
      <c r="B16" s="4" t="n">
        <v>15</v>
      </c>
      <c r="C16" t="inlineStr">
        <is>
          <t>Only effective in deferred mode. Presets: LOW=5%, MID=15% (default), HIGH=30%</t>
        </is>
      </c>
    </row>
    <row r="17">
      <c r="A17" t="inlineStr">
        <is>
          <t>Application cache (M7) enabled</t>
        </is>
      </c>
      <c r="B17" s="6" t="inlineStr">
        <is>
          <t>Yes</t>
        </is>
      </c>
      <c r="C17" t="inlineStr">
        <is>
          <t>"Yes" (default) | "No" — must be No for GLM (no Bedrock caching)</t>
        </is>
      </c>
    </row>
    <row r="18">
      <c r="A18" t="inlineStr">
        <is>
          <t>Application cache (M7) hit rate (%)</t>
        </is>
      </c>
      <c r="B18" s="4" t="n">
        <v>50</v>
      </c>
      <c r="C18" t="inlineStr">
        <is>
          <t>Presets: LOW=20%, MID=50% (default), HIGH=70%. PLACEHOLDER — measure in production.</t>
        </is>
      </c>
    </row>
    <row r="19">
      <c r="A19" t="inlineStr">
        <is>
          <t>Classifier enabled</t>
        </is>
      </c>
      <c r="B19" s="6" t="inlineStr">
        <is>
          <t>No</t>
        </is>
      </c>
      <c r="C19" t="inlineStr">
        <is>
          <t>"Yes" / "No" (default). SKIPPED in deferred mode — classifier rows zero out.</t>
        </is>
      </c>
    </row>
    <row r="20">
      <c r="A20" t="inlineStr">
        <is>
          <t>Classifier rejection rate (%)</t>
        </is>
      </c>
      <c r="B20" s="4" t="n">
        <v>40</v>
      </c>
      <c r="C20" t="inlineStr">
        <is>
          <t>PLACEHOLDER — depends on query mix. Default 40%. Per-call cost is derived.</t>
        </is>
      </c>
    </row>
    <row r="21">
      <c r="A21" t="inlineStr">
        <is>
          <t>Baseline model</t>
        </is>
      </c>
      <c r="B21" s="6" t="inlineStr">
        <is>
          <t>Sonnet 4.6</t>
        </is>
      </c>
      <c r="C21" t="inlineStr">
        <is>
          <t>"Sonnet 4.6" (default, caching) | "GLM 4.7" (no cache) | "GLM 4.7 Flash" (no cache)</t>
        </is>
      </c>
    </row>
    <row r="22">
      <c r="A22" t="inlineStr">
        <is>
          <t>AWS Bedrock prompt caching (auto)</t>
        </is>
      </c>
      <c r="B22" s="8">
        <f>IF(B21="Sonnet 4.6","Active (provider supports)","Inactive (provider unsupported)")</f>
        <v/>
      </c>
    </row>
    <row r="23">
      <c r="A23" s="2" t="inlineStr">
        <is>
          <t>LOCKED CONSTANTS  (do not change unless rates update)</t>
        </is>
      </c>
    </row>
    <row r="24">
      <c r="A24" s="8" t="inlineStr">
        <is>
          <t>Sonnet 4.6 input price ($/M tokens)</t>
        </is>
      </c>
      <c r="B24" s="9" t="n">
        <v>3</v>
      </c>
      <c r="C24" s="8" t="inlineStr">
        <is>
          <t>standard input, AWS Bedrock 2026-05-14</t>
        </is>
      </c>
    </row>
    <row r="25">
      <c r="A25" s="8" t="inlineStr">
        <is>
          <t>Sonnet 4.6 output price ($/M tokens)</t>
        </is>
      </c>
      <c r="B25" s="9" t="n">
        <v>15</v>
      </c>
      <c r="C25" s="8" t="inlineStr">
        <is>
          <t>standard output</t>
        </is>
      </c>
    </row>
    <row r="26">
      <c r="A26" s="8" t="inlineStr">
        <is>
          <t>Bedrock cache write price ($/M tokens)</t>
        </is>
      </c>
      <c r="B26" s="9" t="n">
        <v>3.75</v>
      </c>
      <c r="C26" s="8" t="inlineStr">
        <is>
          <t>1.25x Sonnet input — Anthropic prompt caching (Sonnet 4.6 only)</t>
        </is>
      </c>
    </row>
    <row r="27">
      <c r="A27" s="8" t="inlineStr">
        <is>
          <t>Bedrock cache read price ($/M tokens)</t>
        </is>
      </c>
      <c r="B27" s="9" t="n">
        <v>0.3</v>
      </c>
      <c r="C27" s="8" t="inlineStr">
        <is>
          <t>0.10x Sonnet input — Anthropic prompt caching (Sonnet 4.6 only)</t>
        </is>
      </c>
    </row>
    <row r="28">
      <c r="A28" s="8" t="inlineStr">
        <is>
          <t>Cached prefix tokens</t>
        </is>
      </c>
      <c r="B28" s="10" t="n">
        <v>4030</v>
      </c>
      <c r="C28" s="8" t="inlineStr">
        <is>
          <t>system prompt (3,098) + search_products schema (932); production prompt may differ</t>
        </is>
      </c>
    </row>
    <row r="29">
      <c r="A29" s="8" t="inlineStr">
        <is>
          <t>GLM 4.7 input price ($/M tokens)</t>
        </is>
      </c>
      <c r="B29" s="9" t="n">
        <v>0.6</v>
      </c>
      <c r="C29" s="8" t="inlineStr">
        <is>
          <t>AWS Bedrock GLM 4.7 — NO Bedrock prompt caching. Source: model-card-zai-glm-4-7</t>
        </is>
      </c>
    </row>
    <row r="30">
      <c r="A30" s="8" t="inlineStr">
        <is>
          <t>GLM 4.7 output price ($/M tokens)</t>
        </is>
      </c>
      <c r="B30" s="9" t="n">
        <v>2.2</v>
      </c>
      <c r="C30" s="8" t="inlineStr">
        <is>
          <t>AWS Bedrock GLM 4.7 output rate</t>
        </is>
      </c>
    </row>
    <row r="31">
      <c r="A31" s="8" t="inlineStr">
        <is>
          <t>GLM 4.7 Flash input price ($/M tokens)</t>
        </is>
      </c>
      <c r="B31" s="9" t="n">
        <v>0.07000000000000001</v>
      </c>
      <c r="C31" s="8" t="inlineStr">
        <is>
          <t>AWS Bedrock GLM 4.7 Flash — NO Bedrock prompt caching</t>
        </is>
      </c>
    </row>
    <row r="32">
      <c r="A32" s="8" t="inlineStr">
        <is>
          <t>GLM 4.7 Flash output price ($/M tokens)</t>
        </is>
      </c>
      <c r="B32" s="9" t="n">
        <v>0.4</v>
      </c>
      <c r="C32" s="8" t="inlineStr">
        <is>
          <t>AWS Bedrock GLM 4.7 Flash output rate</t>
        </is>
      </c>
    </row>
    <row r="33">
      <c r="A33" s="8" t="inlineStr">
        <is>
          <t>Haiku 4.5 classifier input price ($/M tokens)</t>
        </is>
      </c>
      <c r="B33" s="9" t="n">
        <v>1</v>
      </c>
      <c r="C33" s="8" t="inlineStr">
        <is>
          <t>Haiku 4.5 input rate (2026-05-14)</t>
        </is>
      </c>
    </row>
    <row r="34">
      <c r="A34" s="8" t="inlineStr">
        <is>
          <t>Haiku 4.5 classifier output price ($/M tokens)</t>
        </is>
      </c>
      <c r="B34" s="9" t="n">
        <v>5</v>
      </c>
      <c r="C34" s="8" t="inlineStr">
        <is>
          <t>Haiku 4.5 output rate</t>
        </is>
      </c>
    </row>
    <row r="35">
      <c r="A35" s="8" t="inlineStr">
        <is>
          <t>Classifier input tokens per call</t>
        </is>
      </c>
      <c r="B35" s="10" t="n">
        <v>700</v>
      </c>
      <c r="C35" s="8" t="inlineStr">
        <is>
          <t>~700 input tokens per classifier call (query + system)</t>
        </is>
      </c>
    </row>
    <row r="36">
      <c r="A36" s="8" t="inlineStr">
        <is>
          <t>Classifier output tokens per call</t>
        </is>
      </c>
      <c r="B36" s="10" t="n">
        <v>10</v>
      </c>
      <c r="C36" s="8" t="inlineStr">
        <is>
          <t>~10 output tokens per classifier call (accept/reject token)</t>
        </is>
      </c>
    </row>
    <row r="37">
      <c r="A37" s="8" t="inlineStr">
        <is>
          <t>Chars per token (approx)</t>
        </is>
      </c>
      <c r="B37" s="11" t="n">
        <v>4</v>
      </c>
      <c r="C37" s="8" t="inlineStr">
        <is>
          <t>English heuristic for guardrail text-unit math only</t>
        </is>
      </c>
    </row>
    <row r="38">
      <c r="A38" s="8" t="inlineStr">
        <is>
          <t>Guardrail rate — Content only ($/1K)</t>
        </is>
      </c>
      <c r="B38" s="9" t="n">
        <v>0.75</v>
      </c>
      <c r="C38" s="8" t="inlineStr">
        <is>
          <t>content filters / denied topics / word filters</t>
        </is>
      </c>
    </row>
    <row r="39">
      <c r="A39" s="8" t="inlineStr">
        <is>
          <t>Guardrail rate — Content+PII ($/1K)</t>
        </is>
      </c>
      <c r="B39" s="9" t="n">
        <v>0.85</v>
      </c>
      <c r="C39" s="8" t="inlineStr">
        <is>
          <t>+ $0.10/1K for PII policy</t>
        </is>
      </c>
    </row>
    <row r="40">
      <c r="A40" s="8" t="inlineStr">
        <is>
          <t>Guardrail rate — Content+PII+Gnd ($/1K)</t>
        </is>
      </c>
      <c r="B40" s="9" t="n">
        <v>0.95</v>
      </c>
      <c r="C40" s="8" t="inlineStr">
        <is>
          <t>+ $0.10/1K for contextual grounding</t>
        </is>
      </c>
    </row>
    <row r="41">
      <c r="A41" s="8" t="inlineStr">
        <is>
          <t>5-min windows per month</t>
        </is>
      </c>
      <c r="B41" s="10" t="n">
        <v>8640</v>
      </c>
      <c r="C41" s="8">
        <f> 30 days x 24 hours x 12 windows/hour</f>
        <v/>
      </c>
    </row>
    <row r="43">
      <c r="A43" s="2" t="inlineStr">
        <is>
          <t>BASELINE MODEL RATES  (resolved from dropdown)</t>
        </is>
      </c>
    </row>
    <row r="44">
      <c r="A44" t="inlineStr">
        <is>
          <t>Active input price ($/M tokens)</t>
        </is>
      </c>
      <c r="B44" s="12">
        <f>IF(B21="Sonnet 4.6",B24,IF(B21="GLM 4.7",B29,B31))</f>
        <v/>
      </c>
      <c r="C44" t="inlineStr">
        <is>
          <t>Resolved from B21 dropdown</t>
        </is>
      </c>
    </row>
    <row r="45">
      <c r="A45" t="inlineStr">
        <is>
          <t>Active output price ($/M tokens)</t>
        </is>
      </c>
      <c r="B45" s="12">
        <f>IF(B21="Sonnet 4.6",B25,IF(B21="GLM 4.7",B30,B32))</f>
        <v/>
      </c>
      <c r="C45" t="inlineStr">
        <is>
          <t>Resolved from B21 dropdown</t>
        </is>
      </c>
    </row>
    <row r="46">
      <c r="A46" t="inlineStr">
        <is>
          <t>Bedrock prefix cache applies flag (Sonnet 4.6 only)</t>
        </is>
      </c>
      <c r="B46" s="13">
        <f>IF(B21="Sonnet 4.6",1,0)</f>
        <v/>
      </c>
      <c r="C46" t="inlineStr">
        <is>
          <t>1 = Sonnet selected → prefix cache active; 0 = GLM (no provider-side caching). Cache savings scale automatically with B51 firing multiplier.</t>
        </is>
      </c>
    </row>
    <row r="47">
      <c r="A47" t="inlineStr">
        <is>
          <t>Classifier applies flag (classifier=Yes AND eager)</t>
        </is>
      </c>
      <c r="B47" s="13">
        <f>IF(AND(B19="Yes",B15="eager"),1,0)</f>
        <v/>
      </c>
      <c r="C47" t="inlineStr">
        <is>
          <t>1 = classifier active; 0 in deferred mode (classifier SKIPPED)</t>
        </is>
      </c>
    </row>
    <row r="48">
      <c r="A48" t="inlineStr">
        <is>
          <t>Classifier per-call cost ($)  [derived constant]</t>
        </is>
      </c>
      <c r="B48" s="14">
        <f>B35*B33/1000000+B36*B34/1000000</f>
        <v/>
      </c>
      <c r="C48" t="inlineStr">
        <is>
          <t>Haiku 4.5: 700 input + 10 output tokens = ~$0.00075/call</t>
        </is>
      </c>
    </row>
    <row r="49">
      <c r="A49" t="inlineStr">
        <is>
          <t>Active guardrail rate ($/1K text units)</t>
        </is>
      </c>
      <c r="B49" s="12">
        <f>IF(B12="Yes",IF(B13="Content only",B38,IF(B13="Content + PII",B39,B40)),0)</f>
        <v/>
      </c>
      <c r="C49" t="inlineStr">
        <is>
          <t>0 if guardrails disabled; else from policy mix selection</t>
        </is>
      </c>
    </row>
    <row r="50">
      <c r="A50" t="inlineStr">
        <is>
          <t>Effective cache write fraction (per search)</t>
        </is>
      </c>
      <c r="B50" s="15">
        <f>MIN(B4,B41)/B4</f>
        <v/>
      </c>
      <c r="C50" t="inlineStr">
        <is>
          <t>uniform-distribution model: writes/month = MIN(searches, 5-min windows)</t>
        </is>
      </c>
    </row>
    <row r="51">
      <c r="A51" t="inlineStr">
        <is>
          <t>Firing multiplier (1=eager; click-through%/100 if deferred)</t>
        </is>
      </c>
      <c r="B51" s="15">
        <f>IF(B15="eager",1,B16/100)</f>
        <v/>
      </c>
      <c r="C51" t="inlineStr">
        <is>
          <t>In deferred mode T1 fires only on click-through fraction</t>
        </is>
      </c>
    </row>
    <row r="52">
      <c r="A52" t="inlineStr">
        <is>
          <t>M7 application cache applies flag (M7=Yes)</t>
        </is>
      </c>
      <c r="B52" s="27">
        <f>IF(B17="Yes",1,0)</f>
        <v/>
      </c>
      <c r="C52" t="inlineStr">
        <is>
          <t>1 = M7 toggle on → application cache active in any firing mode. Cache savings scale automatically with B51 firing multiplier.</t>
        </is>
      </c>
    </row>
    <row r="53">
      <c r="A53" s="2" t="inlineStr">
        <is>
          <t>DERIVED — COST PER SEARCH</t>
        </is>
      </c>
      <c r="D53" s="16" t="inlineStr">
        <is>
          <t>% of monthly</t>
        </is>
      </c>
    </row>
    <row r="54">
      <c r="A54" s="16" t="inlineStr">
        <is>
          <t>Turn 1 cost rows</t>
        </is>
      </c>
    </row>
    <row r="55">
      <c r="A55" t="inlineStr">
        <is>
          <t>T1 first-call cache cost ($)  [zero if cache off or GLM or deferred]</t>
        </is>
      </c>
      <c r="B55" s="14">
        <f>B46*((B50*B26+(1-B50)*B27)*B28/1000000)*B51</f>
        <v/>
      </c>
      <c r="C55" t="inlineStr">
        <is>
          <t>write if cold, read if warm; zero for GLM (no Bedrock caching)</t>
        </is>
      </c>
    </row>
    <row r="56">
      <c r="A56" t="inlineStr">
        <is>
          <t>T1 subsequent-calls cache cost ($)  [zero if cache off or GLM or deferred]</t>
        </is>
      </c>
      <c r="B56" s="14">
        <f>B46*MAX(B10-1,0)*B27*B28/1000000*B51</f>
        <v/>
      </c>
      <c r="C56" t="inlineStr">
        <is>
          <t>subsequent T1 calls (2-call path) — warm reads; zero for GLM</t>
        </is>
      </c>
    </row>
    <row r="57">
      <c r="A57" t="inlineStr">
        <is>
          <t>M7 cache savings ($)  [M7 HIT skips full T1 cascade]</t>
        </is>
      </c>
      <c r="B57" s="14">
        <f>B52*(B18/100)*(B60+B61)</f>
        <v/>
      </c>
      <c r="C57" t="inlineStr">
        <is>
          <t>M7 HIT skips full T1 cascade — savings = hit_rate x full T1 cost (LLM + guardrail)</t>
        </is>
      </c>
    </row>
    <row r="58">
      <c r="A58" t="inlineStr">
        <is>
          <t>T1 dynamic input cost ($)</t>
        </is>
      </c>
      <c r="B58" s="14">
        <f>IF(B46=1,(B6-B28)*B10*B44/1000000,B6*B10*B44/1000000)*B51</f>
        <v/>
      </c>
      <c r="C58" t="inlineStr">
        <is>
          <t>T1 input: for Sonnet (cache on) uses dynamic tokens (B6-B28); for GLM (no cache) charges full B6 tokens. Multiplied by firing mode.</t>
        </is>
      </c>
    </row>
    <row r="59">
      <c r="A59" t="inlineStr">
        <is>
          <t>T1 output cost ($)</t>
        </is>
      </c>
      <c r="B59" s="14">
        <f>B8*B45/1000000*B51</f>
        <v/>
      </c>
      <c r="C59" t="inlineStr">
        <is>
          <t>T1 output tokens x active output rate x firing multiplier</t>
        </is>
      </c>
    </row>
    <row r="60">
      <c r="A60" t="inlineStr">
        <is>
          <t>T1 LLM cost subtotal ($)</t>
        </is>
      </c>
      <c r="B60" s="14">
        <f>B55+B56+B58+B59</f>
        <v/>
      </c>
      <c r="C60" t="inlineStr">
        <is>
          <t>cache cost + dynamic input + output (before classifier adjustment)</t>
        </is>
      </c>
    </row>
    <row r="61">
      <c r="A61" t="inlineStr">
        <is>
          <t>T1 guardrail cost ($)</t>
        </is>
      </c>
      <c r="B61" s="14">
        <f>((B10*B6*B37+B8*B37)/1000)*B49/1000*B51</f>
        <v/>
      </c>
      <c r="C61" t="inlineStr">
        <is>
          <t>(T1 input chars + output chars) / 1K x guardrail rate x firing multiplier</t>
        </is>
      </c>
    </row>
    <row r="62">
      <c r="A62" t="inlineStr">
        <is>
          <t>Classifier cost per search ($)  [zero in deferred or classifier=No]</t>
        </is>
      </c>
      <c r="B62" s="14">
        <f>B47*B48</f>
        <v/>
      </c>
      <c r="C62" t="inlineStr">
        <is>
          <t>Haiku per-call cost x classifier flag (zero in deferred mode)</t>
        </is>
      </c>
    </row>
    <row r="63">
      <c r="A63" t="inlineStr">
        <is>
          <t>T1 LLM savings from classifier rejections ($)</t>
        </is>
      </c>
      <c r="B63" s="14">
        <f>B47*(B20/100)*(B60+B61)</f>
        <v/>
      </c>
      <c r="C63" t="inlineStr">
        <is>
          <t>Classifier rejection skips both LLM and guardrail evaluation. Savings = rejection_rate x (LLM cost + guardrail cost).</t>
        </is>
      </c>
    </row>
    <row r="64">
      <c r="A64" s="16" t="inlineStr">
        <is>
          <t>T1 effective cost per search ($)  [net of all v2 adjustments]</t>
        </is>
      </c>
      <c r="B64" s="17">
        <f>B60+B61-B57-B63+B62</f>
        <v/>
      </c>
      <c r="C64" t="inlineStr">
        <is>
          <t>T1 LLM + guardrail - M7 savings - classifier savings + classifier call cost</t>
        </is>
      </c>
      <c r="D64" s="18">
        <f>B64*B4/B73</f>
        <v/>
      </c>
    </row>
    <row r="66">
      <c r="A66" s="16" t="inlineStr">
        <is>
          <t>Turn 2+3 cost rows (per engaged search)</t>
        </is>
      </c>
    </row>
    <row r="67">
      <c r="A67" t="inlineStr">
        <is>
          <t>T2+T3 cache reads cost ($)  [zero if cache off or GLM]</t>
        </is>
      </c>
      <c r="B67" s="14">
        <f>B46*B11*B27*B28/1000000</f>
        <v/>
      </c>
      <c r="C67" t="inlineStr">
        <is>
          <t>all T2+T3 calls are cache reads (warm from T1); zero for GLM</t>
        </is>
      </c>
    </row>
    <row r="68">
      <c r="A68" t="inlineStr">
        <is>
          <t>T2+T3 dynamic input cost ($)</t>
        </is>
      </c>
      <c r="B68" s="14">
        <f>IF(B46=1,(B7-B28)*B11*B44/1000000,B7*B11*B44/1000000)</f>
        <v/>
      </c>
      <c r="C68" t="inlineStr">
        <is>
          <t>T2+T3 input: for Sonnet uses dynamic tokens (B7-B28); for GLM (no cache) charges full B7 tokens. Engagement-rate-weighted at higher level.</t>
        </is>
      </c>
    </row>
    <row r="69">
      <c r="A69" t="inlineStr">
        <is>
          <t>T2+T3 output cost ($)</t>
        </is>
      </c>
      <c r="B69" s="14">
        <f>B9*B45/1000000</f>
        <v/>
      </c>
      <c r="C69" t="inlineStr">
        <is>
          <t>T2+T3 additional output tokens x active output rate</t>
        </is>
      </c>
    </row>
    <row r="70">
      <c r="A70" t="inlineStr">
        <is>
          <t>T2+T3 guardrail cost ($)</t>
        </is>
      </c>
      <c r="B70" s="14">
        <f>((B11*B7*B37+B9*B37)/1000)*B49/1000</f>
        <v/>
      </c>
      <c r="C70" t="inlineStr">
        <is>
          <t>(T2+T3 input chars + output chars) / 1K x guardrail rate</t>
        </is>
      </c>
    </row>
    <row r="71">
      <c r="A71" s="16" t="inlineStr">
        <is>
          <t>T2+T3 additional cost per engaged search ($)</t>
        </is>
      </c>
      <c r="B71" s="17">
        <f>B67+B68+B69+B70</f>
        <v/>
      </c>
      <c r="C71" t="inlineStr">
        <is>
          <t>incurred only on engaged searches (engagement rate %)</t>
        </is>
      </c>
      <c r="D71" s="18">
        <f>B71*B4*(B5/100)/B73</f>
        <v/>
      </c>
    </row>
    <row r="73">
      <c r="A73" s="16" t="inlineStr">
        <is>
          <t>NET PER-SEARCH COST ($)  [weighted by engagement]</t>
        </is>
      </c>
      <c r="B73" s="19">
        <f>B64+(B5/100)*B71</f>
        <v/>
      </c>
      <c r="C73">
        <f> T1 effective cost + engagement% x T2+T3 additional cost</f>
        <v/>
      </c>
    </row>
    <row r="75">
      <c r="A75" s="2" t="inlineStr">
        <is>
          <t>MONTHLY TOTALS</t>
        </is>
      </c>
      <c r="D75" s="16" t="inlineStr">
        <is>
          <t>% of monthly</t>
        </is>
      </c>
    </row>
    <row r="76">
      <c r="A76" t="inlineStr">
        <is>
          <t>T1 cost (across all searches) ($)</t>
        </is>
      </c>
      <c r="B76" s="20">
        <f>B4*B64</f>
        <v/>
      </c>
      <c r="C76" t="inlineStr">
        <is>
          <t>monthly searches x T1 effective cost per search</t>
        </is>
      </c>
      <c r="D76" s="18">
        <f>B76/B78</f>
        <v/>
      </c>
    </row>
    <row r="77">
      <c r="A77" t="inlineStr">
        <is>
          <t>T2+T3 additional cost (engaged only) ($)</t>
        </is>
      </c>
      <c r="B77" s="20">
        <f>B4*(B5/100)*B71</f>
        <v/>
      </c>
      <c r="C77" t="inlineStr">
        <is>
          <t>engaged searches x T2+T3 additional cost per engaged search</t>
        </is>
      </c>
      <c r="D77" s="18">
        <f>B77/B78</f>
        <v/>
      </c>
    </row>
    <row r="78">
      <c r="A78" s="16" t="inlineStr">
        <is>
          <t>TOTAL MONTHLY COST ($)</t>
        </is>
      </c>
      <c r="B78" s="21">
        <f>B4*B73</f>
        <v/>
      </c>
      <c r="C78" s="16" t="inlineStr">
        <is>
          <t>monthly searches x net per-search cost</t>
        </is>
      </c>
      <c r="D78" s="18">
        <f>B78/B78</f>
        <v/>
      </c>
    </row>
    <row r="80">
      <c r="A80" s="2" t="inlineStr">
        <is>
          <t>SENSITIVITY TABLE — Monthly Cost by Searches x Engagement</t>
        </is>
      </c>
    </row>
    <row r="81">
      <c r="A81" s="16" t="inlineStr">
        <is>
          <t>Searches \ Engagement</t>
        </is>
      </c>
      <c r="B81" s="22" t="inlineStr">
        <is>
          <t>1% engaged</t>
        </is>
      </c>
      <c r="C81" s="22" t="inlineStr">
        <is>
          <t>5% engaged</t>
        </is>
      </c>
      <c r="D81" s="22" t="inlineStr">
        <is>
          <t>10% engaged</t>
        </is>
      </c>
      <c r="E81" s="22" t="inlineStr">
        <is>
          <t>15% engaged</t>
        </is>
      </c>
    </row>
    <row r="82">
      <c r="A82" s="23" t="n">
        <v>10000</v>
      </c>
      <c r="B82" s="24">
        <f>10000*(B$64+(1/100)*B$71)</f>
        <v/>
      </c>
      <c r="C82" s="24">
        <f>10000*(B$64+(5/100)*B$71)</f>
        <v/>
      </c>
      <c r="D82" s="24">
        <f>10000*(B$64+(10/100)*B$71)</f>
        <v/>
      </c>
      <c r="E82" s="24">
        <f>10000*(B$64+(15/100)*B$71)</f>
        <v/>
      </c>
    </row>
    <row r="83">
      <c r="A83" s="23" t="n">
        <v>100000</v>
      </c>
      <c r="B83" s="24">
        <f>100000*(B$64+(1/100)*B$71)</f>
        <v/>
      </c>
      <c r="C83" s="24">
        <f>100000*(B$64+(5/100)*B$71)</f>
        <v/>
      </c>
      <c r="D83" s="24">
        <f>100000*(B$64+(10/100)*B$71)</f>
        <v/>
      </c>
      <c r="E83" s="24">
        <f>100000*(B$64+(15/100)*B$71)</f>
        <v/>
      </c>
    </row>
    <row r="84">
      <c r="A84" s="23" t="n">
        <v>500000</v>
      </c>
      <c r="B84" s="24">
        <f>500000*(B$64+(1/100)*B$71)</f>
        <v/>
      </c>
      <c r="C84" s="24">
        <f>500000*(B$64+(5/100)*B$71)</f>
        <v/>
      </c>
      <c r="D84" s="24">
        <f>500000*(B$64+(10/100)*B$71)</f>
        <v/>
      </c>
      <c r="E84" s="24">
        <f>500000*(B$64+(15/100)*B$71)</f>
        <v/>
      </c>
    </row>
    <row r="85">
      <c r="A85" s="23" t="n">
        <v>1000000</v>
      </c>
      <c r="B85" s="24">
        <f>1000000*(B$64+(1/100)*B$71)</f>
        <v/>
      </c>
      <c r="C85" s="24">
        <f>1000000*(B$64+(5/100)*B$71)</f>
        <v/>
      </c>
      <c r="D85" s="24">
        <f>1000000*(B$64+(10/100)*B$71)</f>
        <v/>
      </c>
      <c r="E85" s="24">
        <f>1000000*(B$64+(15/100)*B$71)</f>
        <v/>
      </c>
    </row>
    <row r="88">
      <c r="A88" s="2" t="inlineStr">
        <is>
          <t>COMPARISON TABLE — Monthly Cost by Scenario</t>
        </is>
      </c>
    </row>
    <row r="89">
      <c r="A89" s="25" t="inlineStr">
        <is>
          <t>Scenario</t>
        </is>
      </c>
      <c r="B89" s="25" t="inlineStr">
        <is>
          <t>Monthly Cost ($)</t>
        </is>
      </c>
      <c r="C89" s="25" t="inlineStr">
        <is>
          <t>Notes</t>
        </is>
      </c>
    </row>
    <row r="90">
      <c r="A90" t="inlineStr">
        <is>
          <t>v1 baseline (eager, no cache, no classifier, Sonnet 4.6)</t>
        </is>
      </c>
      <c r="B90" s="24">
        <f>B4*(B6*B10*B24/1000000+B8*B25/1000000+((B10*B6*B37+B8*B37)/1000)*B49/1000+(B5/100)*(B7*B11*B24/1000000+B9*B25/1000000+((B11*B7*B37+B9*B37)/1000)*B49/1000))</f>
        <v/>
      </c>
      <c r="C90" t="inlineStr">
        <is>
          <t>v1 baseline: no cache, no classifier; all tokens at standard rate</t>
        </is>
      </c>
    </row>
    <row r="91">
      <c r="A91" t="inlineStr">
        <is>
          <t>v2 cache only (eager + cache=Yes + 50% hit rate, Sonnet 4.6)</t>
        </is>
      </c>
      <c r="B91" s="24">
        <f>B4*(0.5*((B50*B26+(1-B50)*B27)*B28/1000000+MAX(B10-1,0)*B27*B28/1000000+(B6-B28)*B10*B24/1000000+B8*B25/1000000+((B10*B6*B37+B8*B37)/1000)*B49/1000)+(B5/100)*(B11*B27*B28/1000000+(B7-B28)*B11*B24/1000000+B9*B25/1000000+((B11*B7*B37+B9*B37)/1000)*B49/1000))</f>
        <v/>
      </c>
      <c r="C91" t="inlineStr">
        <is>
          <t>Cache + 50% M7 hit (MID preset) — M7 saves full T1 on hit</t>
        </is>
      </c>
    </row>
    <row r="92">
      <c r="A92" t="inlineStr">
        <is>
          <t>v2 cache + classifier (eager + cache + 50% hit + 40% rejection, Sonnet 4.6)</t>
        </is>
      </c>
      <c r="B92" s="24">
        <f>B4*(0.5*((B50*B26+(1-B50)*B27)*B28/1000000+MAX(B10-1,0)*B27*B28/1000000+(B6-B28)*B10*B24/1000000+B8*B25/1000000+((B10*B6*B37+B8*B37)/1000)*B49/1000)-0.4*((B50*B26+(1-B50)*B27)*B28/1000000+MAX(B10-1,0)*B27*B28/1000000+(B6-B28)*B10*B24/1000000+B8*B25/1000000)+B48+(B5/100)*(B11*B27*B28/1000000+(B7-B28)*B11*B24/1000000+B9*B25/1000000+((B11*B7*B37+B9*B37)/1000)*B49/1000))</f>
        <v/>
      </c>
      <c r="C92" t="inlineStr">
        <is>
          <t>Cache + 50% M7 hit + 40% classifier rejection — M7 saves full T1 on hit</t>
        </is>
      </c>
    </row>
    <row r="93">
      <c r="A93" t="inlineStr">
        <is>
          <t>v2 deferred + cache (deferred mode + cache=Yes, Sonnet 4.6, B16 click-through%)</t>
        </is>
      </c>
      <c r="B93" s="24">
        <f>B4*(0.5*((B50*B26+(1-B50)*B27)*B28/1000000+MAX(B10-1,0)*B27*B28/1000000+(B6-B28)*B10*B24/1000000+B8*B25/1000000+((B10*B6*B37+B8*B37)/1000)*B49/1000)*(B16/100)+(B5/100)*(B11*B27*B28/1000000+(B7-B28)*B11*B24/1000000+B9*B25/1000000+((B11*B7*B37+B9*B37)/1000)*B49/1000))</f>
        <v/>
      </c>
      <c r="C93" t="inlineStr">
        <is>
          <t>Deferred: T1 fires at B16 click-through%; M7 saves 50% of fired T1 cost</t>
        </is>
      </c>
    </row>
    <row r="94">
      <c r="A94" t="inlineStr">
        <is>
          <t>Current selected configuration (as dialed in above)</t>
        </is>
      </c>
      <c r="B94" s="21">
        <f>B78</f>
        <v/>
      </c>
      <c r="C94">
        <f> TOTAL MONTHLY COST from inputs section above</f>
        <v/>
      </c>
    </row>
  </sheetData>
  <mergeCells count="8">
    <mergeCell ref="A1:D1"/>
    <mergeCell ref="A23:D23"/>
    <mergeCell ref="A88:D88"/>
    <mergeCell ref="A75:C75"/>
    <mergeCell ref="A3:D3"/>
    <mergeCell ref="A43:D43"/>
    <mergeCell ref="A53:C53"/>
    <mergeCell ref="A80:E80"/>
  </mergeCells>
  <dataValidations count="6">
    <dataValidation sqref="B12" showDropDown="0" showInputMessage="1" showErrorMessage="1" allowBlank="0" errorTitle="Invalid" error="Please select from the dropdown." promptTitle="Guardrails enabled" prompt="Yes or No" type="list">
      <formula1>"Yes,No"</formula1>
    </dataValidation>
    <dataValidation sqref="B13" showDropDown="0" showInputMessage="1" showErrorMessage="1" allowBlank="0" errorTitle="Invalid" error="Please select from the dropdown." promptTitle="Guardrail policy" prompt="Select policy mix" type="list">
      <formula1>"Content only,Content + PII,Content + PII + Grounding"</formula1>
    </dataValidation>
    <dataValidation sqref="B15" showDropDown="0" showInputMessage="1" showErrorMessage="1" allowBlank="0" errorTitle="Invalid" error="Please select from the dropdown." promptTitle="Firing mode" prompt="eager or deferred" type="list">
      <formula1>"eager,deferred"</formula1>
    </dataValidation>
    <dataValidation sqref="B17" showDropDown="0" showInputMessage="1" showErrorMessage="1" allowBlank="0" errorTitle="Invalid" error="Please select from the dropdown." promptTitle="M7 cache enabled" prompt="Yes or No" type="list">
      <formula1>"Yes,No"</formula1>
    </dataValidation>
    <dataValidation sqref="B19" showDropDown="0" showInputMessage="1" showErrorMessage="1" allowBlank="0" errorTitle="Invalid" error="Please select from the dropdown." promptTitle="Classifier enabled" prompt="Yes or No" type="list">
      <formula1>"Yes,No"</formula1>
    </dataValidation>
    <dataValidation sqref="B21" showDropDown="0" showInputMessage="1" showErrorMessage="1" allowBlank="0" errorTitle="Invalid" error="Please select from the dropdown." promptTitle="Baseline model" prompt="Select baseline model" type="list">
      <formula1>"Sonnet 4.6,GLM 4.7,GLM 4.7 Flash"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7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6" t="inlineStr">
        <is>
          <t>Notes — Methodology, Assumptions, Open Questions, Sources</t>
        </is>
      </c>
    </row>
    <row r="3">
      <c r="A3" s="16" t="inlineStr">
        <is>
          <t>How to Use</t>
        </is>
      </c>
    </row>
    <row r="4">
      <c r="A4" t="inlineStr">
        <is>
          <t>Step 1</t>
        </is>
      </c>
      <c r="B4" t="inlineStr">
        <is>
          <t>Open the Calculator sheet.</t>
        </is>
      </c>
    </row>
    <row r="5">
      <c r="A5" t="inlineStr">
        <is>
          <t>Step 2</t>
        </is>
      </c>
      <c r="B5" t="inlineStr">
        <is>
          <t>Set B4 (monthly searches) and B5 (Turn 2+3 engagement %).</t>
        </is>
      </c>
    </row>
    <row r="6">
      <c r="A6" t="inlineStr">
        <is>
          <t>Step 3</t>
        </is>
      </c>
      <c r="B6" t="inlineStr">
        <is>
          <t>Select Baseline model (B21): Sonnet 4.6 (default), GLM 4.7, or GLM 4.7 Flash.</t>
        </is>
      </c>
    </row>
    <row r="7">
      <c r="A7" t="inlineStr">
        <is>
          <t>Step 4</t>
        </is>
      </c>
      <c r="B7" t="inlineStr">
        <is>
          <t>Choose Firing mode (B15): 'eager' fires T1 on every search (v1 default); 'deferred' fires T1 only on user click-through (set rate in B16).</t>
        </is>
      </c>
    </row>
    <row r="8">
      <c r="A8" t="inlineStr">
        <is>
          <t>Step 5</t>
        </is>
      </c>
      <c r="B8" t="inlineStr">
        <is>
          <t>Toggle M7 cache (B17) and set hit rate (B18, default 50% — see caveats). Cache is Sonnet 4.6 only; selecting GLM disables all cache rows automatically.</t>
        </is>
      </c>
    </row>
    <row r="9">
      <c r="A9" t="inlineStr">
        <is>
          <t>Step 6</t>
        </is>
      </c>
      <c r="B9" t="inlineStr">
        <is>
          <t>Toggle classifier (B19, default No = v1 behavior). Set rejection rate B20.</t>
        </is>
      </c>
    </row>
    <row r="10">
      <c r="A10" t="inlineStr">
        <is>
          <t>Step 7</t>
        </is>
      </c>
      <c r="B10" t="inlineStr">
        <is>
          <t>Read the green TOTAL MONTHLY COST cell (B78).</t>
        </is>
      </c>
    </row>
    <row r="11">
      <c r="A11" t="inlineStr">
        <is>
          <t>Step 8</t>
        </is>
      </c>
      <c r="B11" t="inlineStr">
        <is>
          <t>Column D shows % share of monthly cost by component.</t>
        </is>
      </c>
    </row>
    <row r="12">
      <c r="A12" t="inlineStr">
        <is>
          <t>Step 9</t>
        </is>
      </c>
      <c r="B12" t="inlineStr">
        <is>
          <t>Use the Sensitivity Table (row 80+) to see cost across search volume x engagement.</t>
        </is>
      </c>
    </row>
    <row r="13">
      <c r="A13" t="inlineStr">
        <is>
          <t>Step 10</t>
        </is>
      </c>
      <c r="B13" t="inlineStr">
        <is>
          <t>Use the Comparison Table (row 88+) to compare five canonical scenarios.</t>
        </is>
      </c>
    </row>
    <row r="15">
      <c r="A15" s="16" t="inlineStr">
        <is>
          <t>What's New in v2</t>
        </is>
      </c>
    </row>
    <row r="16">
      <c r="A16" s="7" t="inlineStr">
        <is>
          <t>1. Firing mode (B15)</t>
        </is>
      </c>
      <c r="B16" t="inlineStr">
        <is>
          <t>eager (v1 default) vs deferred. In deferred mode, T1 fires only on click-through (B16 rate). Classifier is SKIPPED in deferred mode (no pre-filter needed when T1 is opt-in).</t>
        </is>
      </c>
    </row>
    <row r="17">
      <c r="A17" s="7" t="inlineStr">
        <is>
          <t>2. Deferred click-through % (B16)</t>
        </is>
      </c>
      <c r="B17" t="inlineStr">
        <is>
          <t>Fraction of searches where user clicks through in deferred mode. Presets: LOW=5%, MID=15% (default), HIGH=30%. Only effective when B15=deferred.</t>
        </is>
      </c>
    </row>
    <row r="18">
      <c r="A18" s="7" t="inlineStr">
        <is>
          <t>3. M7 cache enabled (B17)</t>
        </is>
      </c>
      <c r="B18" t="inlineStr">
        <is>
          <t>Whether Bedrock prompt caching is used for the M7 composition payload (4,030-token prefix). Must be No for GLM models (no Bedrock caching support).</t>
        </is>
      </c>
    </row>
    <row r="19">
      <c r="A19" s="7" t="inlineStr">
        <is>
          <t>4. M7 cache hit rate % (B18)</t>
        </is>
      </c>
      <c r="B19" t="inlineStr">
        <is>
          <t>Fraction of T1 calls that hit a warm cache entry. Presets: LOW=20%, MID=50% (default), HIGH=70%. PLACEHOLDER — refine from production-traffic measurement.</t>
        </is>
      </c>
    </row>
    <row r="20">
      <c r="A20" s="7" t="inlineStr">
        <is>
          <t>5. Classifier enabled (B19)</t>
        </is>
      </c>
      <c r="B20" t="inlineStr">
        <is>
          <t>Haiku 4.5 pre-classifier that fires before Turn 1 in eager mode. Default: No (matches v1 behavior). SKIPPED in deferred mode.</t>
        </is>
      </c>
    </row>
    <row r="21">
      <c r="A21" s="7" t="inlineStr">
        <is>
          <t>6. Classifier rejection rate % (B20)</t>
        </is>
      </c>
      <c r="B21" t="inlineStr">
        <is>
          <t>Fraction of queries the classifier rejects (avoiding T1 LLM cost). Default: 40%. PLACEHOLDER — depends on query mix and classifier tuning. Per-call cost is a derived constant: Haiku 4.5 x (700 input + 10 output tokens) = ~$0.00075/call.</t>
        </is>
      </c>
    </row>
    <row r="22">
      <c r="A22" s="7" t="inlineStr">
        <is>
          <t>7. Baseline model (B21)</t>
        </is>
      </c>
      <c r="B22" t="inlineStr">
        <is>
          <t>Sonnet 4.6 ($3/$15 per 1M in/out, caching supported), GLM 4.7 ($0.60/$2.20, no caching), or GLM 4.7 Flash ($0.07/$0.40, no caching). Selecting GLM zeros out ALL cache rows (write surcharge and read savings). GLM region availability is NOT modeled — verify procurement separately.</t>
        </is>
      </c>
    </row>
    <row r="23">
      <c r="A23" s="7" t="inlineStr">
        <is>
          <t>Comparison table</t>
        </is>
      </c>
      <c r="B23" t="inlineStr">
        <is>
          <t>Shows monthly cost for 5 canonical scenarios using current B4/B5, so the operator can see the savings stack at a glance: v1 baseline, cache-only, cache+classifier, deferred+cache, and the current dialed-in configuration.</t>
        </is>
      </c>
    </row>
    <row r="25">
      <c r="A25" s="16" t="inlineStr">
        <is>
          <t>Key Caveats</t>
        </is>
      </c>
    </row>
    <row r="26">
      <c r="A26" s="7" t="inlineStr">
        <is>
          <t>Guardrail policy unknown</t>
        </is>
      </c>
      <c r="B26" t="inlineStr">
        <is>
          <t>Production guardrail lxv6kzi6cryg (AWS Bedrock). Check Console for policy list. Budget at 'Content + PII + Grounding' ($0.95/1K) for ceiling.</t>
        </is>
      </c>
    </row>
    <row r="27">
      <c r="A27" s="7" t="inlineStr">
        <is>
          <t>Cached prefix estimate</t>
        </is>
      </c>
      <c r="B27" t="inlineStr">
        <is>
          <t>4,030 tokens = system prompt (3,098) + search_products schema (932). Production system prompt is Langfuse-hosted and may differ.</t>
        </is>
      </c>
    </row>
    <row r="28">
      <c r="A28" s="7" t="inlineStr">
        <is>
          <t>Cache hit rate placeholder</t>
        </is>
      </c>
      <c r="B28" t="inlineStr">
        <is>
          <t>50% MID preset is a reasonable default; LOW=20%, HIGH=70%. PLACEHOLDER — production-traffic measurement should refine it.</t>
        </is>
      </c>
    </row>
    <row r="29">
      <c r="A29" s="7" t="inlineStr">
        <is>
          <t>Classifier rejection rate placeholder</t>
        </is>
      </c>
      <c r="B29" t="inlineStr">
        <is>
          <t>40% default. PLACEHOLDER — depends on query mix and classifier tuning; measure in production.</t>
        </is>
      </c>
    </row>
    <row r="30">
      <c r="A30" s="7" t="inlineStr">
        <is>
          <t>GLM caching unsupported</t>
        </is>
      </c>
      <c r="B30" t="inlineStr">
        <is>
          <t>Selecting a GLM model disables ALL cache-write surcharge and cache-read savings rows. This is the critical cost-modeling fact for GLM: no Bedrock prompt caching.</t>
        </is>
      </c>
    </row>
    <row r="31">
      <c r="A31" t="inlineStr">
        <is>
          <t>Classifier net savings depend on cost basis</t>
        </is>
      </c>
      <c r="B31" t="inlineStr">
        <is>
          <t>The classifier saves money when rejection_rate x (T1 LLM cost + T1 guardrail cost) &gt; classifier_per_call_cost. With Sonnet baseline and 40% rejection, classifier saves ~$0.007/search vs its $0.00075 cost — clear net positive. With GLM 4.7 Flash (very cheap input), the LLM-cost savings alone don't cover the classifier; the model-agnostic guardrail savings are what tip it positive. If guardrails are disabled in your deployment, re-check whether classifier still nets save for cheap GLM models — formula in B62/B63.</t>
        </is>
      </c>
    </row>
    <row r="32">
      <c r="A32" s="7" t="inlineStr">
        <is>
          <t>GLM region availability not modeled</t>
        </is>
      </c>
      <c r="B32" t="inlineStr">
        <is>
          <t>This calculator does NOT check whether GLM 4.7 is available in your deployment region. The operator must verify procurement separately before relying on GLM cost estimates.</t>
        </is>
      </c>
    </row>
    <row r="33">
      <c r="A33" s="7" t="inlineStr">
        <is>
          <t>5-min cache TTL assumed hit</t>
        </is>
      </c>
      <c r="B33" t="inlineStr">
        <is>
          <t>If a conversation resumes after 5 minutes, the cache-write cost is charged again.</t>
        </is>
      </c>
    </row>
    <row r="34">
      <c r="A34" s="7" t="inlineStr">
        <is>
          <t>LLM calls per turn default</t>
        </is>
      </c>
      <c r="B34" t="inlineStr">
        <is>
          <t>Default 1.1 for T1 leaves headroom; benchmark median is ~1 for the happy path, ~2 on retry/long-form (10%). Adjust B10 to match measured production cadence.</t>
        </is>
      </c>
    </row>
    <row r="35">
      <c r="A35" s="7" t="inlineStr">
        <is>
          <t>Chars per token = 4 approximate</t>
        </is>
      </c>
      <c r="B35" t="inlineStr">
        <is>
          <t>Used only for guardrail text-unit math (not LLM billing). JSON content has a lower ratio.</t>
        </is>
      </c>
    </row>
    <row r="36">
      <c r="A36" s="7" t="inlineStr">
        <is>
          <t>Verifier LLM call not modeled</t>
        </is>
      </c>
      <c r="B36" t="inlineStr">
        <is>
          <t>verify_search_intent runs per turn as a separate Bedrock call (~670 tok input). Add ~$0.0001/turn if enabled and material.</t>
        </is>
      </c>
    </row>
    <row r="37"/>
    <row r="38">
      <c r="A38" s="16" t="inlineStr">
        <is>
          <t>Where to Look (guardrail precision)</t>
        </is>
      </c>
    </row>
    <row r="39">
      <c r="A39" t="inlineStr">
        <is>
          <t>1.</t>
        </is>
      </c>
      <c r="B39" t="inlineStr">
        <is>
          <t>Go to Amazon Bedrock -&gt; Guardrails in the production region.</t>
        </is>
      </c>
    </row>
    <row r="40">
      <c r="A40" t="inlineStr">
        <is>
          <t>2.</t>
        </is>
      </c>
      <c r="B40" t="inlineStr">
        <is>
          <t>Find guardrail ID lxv6kzi6cryg.</t>
        </is>
      </c>
    </row>
    <row r="41">
      <c r="A41" t="inlineStr">
        <is>
          <t>3.</t>
        </is>
      </c>
      <c r="B41" t="inlineStr">
        <is>
          <t>Check which policy types are enabled: Content Filters, Sensitive Information (PII), Contextual Grounding Check.</t>
        </is>
      </c>
    </row>
    <row r="42">
      <c r="A42" t="inlineStr">
        <is>
          <t>4.</t>
        </is>
      </c>
      <c r="B42" t="inlineStr">
        <is>
          <t>Update the Guardrail policy mix dropdown in the calculator accordingly.</t>
        </is>
      </c>
    </row>
    <row r="43"/>
    <row r="44">
      <c r="A44" s="16" t="inlineStr">
        <is>
          <t>Pricing Sources</t>
        </is>
      </c>
    </row>
    <row r="45">
      <c r="A45" s="7" t="inlineStr">
        <is>
          <t>AWS Bedrock pricing</t>
        </is>
      </c>
      <c r="B45" t="inlineStr">
        <is>
          <t>https://aws.amazon.com/bedrock/pricing/ (fetched 2026-05-14)</t>
        </is>
      </c>
    </row>
    <row r="46">
      <c r="A46" s="7" t="inlineStr">
        <is>
          <t>Anthropic prompt-caching docs</t>
        </is>
      </c>
      <c r="B46" t="inlineStr">
        <is>
          <t>https://docs.anthropic.com/en/docs/build-with-claude/prompt-caching (fetched 2026-05-14)</t>
        </is>
      </c>
    </row>
    <row r="47">
      <c r="A47" s="7" t="inlineStr">
        <is>
          <t>GLM 4.7 model card (AWS Bedrock)</t>
        </is>
      </c>
      <c r="B47" t="inlineStr">
        <is>
          <t>https://docs.aws.amazon.com/bedrock/latest/userguide/model-card-zai-glm-4-7.html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2026-05-24T20:43:08Z</dcterms:created>
  <dcterms:modified xmlns:dcterms="http://purl.org/dc/terms/" xmlns:xsi="http://www.w3.org/2001/XMLSchema-instance" xsi:type="dcterms:W3CDTF">2026-05-25T07:52:37Z</dcterms:modified>
</cp:coreProperties>
</file>